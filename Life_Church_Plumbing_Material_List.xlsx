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6" customWidth="1" min="3" max="3"/>
    <col width="6" customWidth="1" min="4" max="4"/>
    <col width="40" customWidth="1" min="5" max="5"/>
    <col width="44" customWidth="1" min="6" max="6"/>
    <col width="11" customWidth="1" min="7" max="7"/>
    <col width="12" customWidth="1" min="8" max="8"/>
  </cols>
  <sheetData>
    <row r="1">
      <c r="A1" s="1" t="inlineStr">
        <is>
          <t>Life Church – Ground Floor Fit Out, 6-8 High Street, Paisley</t>
        </is>
      </c>
    </row>
    <row r="2">
      <c r="A2" s="2" t="inlineStr">
        <is>
          <t>Plumbing material take-off from Kilbryde E23025 (52) 001 BW3, (53) 001 BW2 &amp; Framed Estates 697 AB 111C / 400A. Drawings are 1:50 schematic – quantities include c.15% waste; check on site.</t>
        </is>
      </c>
    </row>
    <row r="4">
      <c r="A4" s="3" t="inlineStr">
        <is>
          <t>Section</t>
        </is>
      </c>
      <c r="B4" s="3" t="inlineStr">
        <is>
          <t>Item / Description</t>
        </is>
      </c>
      <c r="C4" s="3" t="inlineStr">
        <is>
          <t>Qty</t>
        </is>
      </c>
      <c r="D4" s="3" t="inlineStr">
        <is>
          <t>Unit</t>
        </is>
      </c>
      <c r="E4" s="3" t="inlineStr">
        <is>
          <t>Basis</t>
        </is>
      </c>
      <c r="F4" s="3" t="inlineStr">
        <is>
          <t>Notes / Queries</t>
        </is>
      </c>
      <c r="G4" s="3" t="inlineStr">
        <is>
          <t>Rate (£)</t>
        </is>
      </c>
      <c r="H4" s="3" t="inlineStr">
        <is>
          <t>Total (£)</t>
        </is>
      </c>
    </row>
    <row r="5">
      <c r="A5" s="4" t="inlineStr">
        <is>
          <t>DRAINAGE ABOVE GROUND  (Dwg E23025 (52) 001 BW3)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Soil pipe</t>
        </is>
      </c>
      <c r="B6" s="6" t="inlineStr">
        <is>
          <t>110mm PVC-u solvent weld soil pipe, 3m lengths</t>
        </is>
      </c>
      <c r="C6" s="6" t="n">
        <v>7</v>
      </c>
      <c r="D6" s="6" t="inlineStr">
        <is>
          <t>no</t>
        </is>
      </c>
      <c r="E6" s="6" t="inlineStr">
        <is>
          <t>Measured c.18m (6.3m low level, 7.7m below floor, c.4.5m new stack) + 15%</t>
        </is>
      </c>
      <c r="F6" s="6" t="inlineStr">
        <is>
          <t>New 110 SVP at rear WC; below-floor runs from pop-ups back to existing SVP</t>
        </is>
      </c>
      <c r="G6" s="7" t="n"/>
      <c r="H6" s="8">
        <f>IF(G6="","",C6*G6)</f>
        <v/>
      </c>
    </row>
    <row r="7">
      <c r="A7" s="6" t="inlineStr">
        <is>
          <t>Soil fittings</t>
        </is>
      </c>
      <c r="B7" s="6" t="inlineStr">
        <is>
          <t>110mm 92.5° bends</t>
        </is>
      </c>
      <c r="C7" s="6" t="n">
        <v>6</v>
      </c>
      <c r="D7" s="6" t="inlineStr">
        <is>
          <t>no</t>
        </is>
      </c>
      <c r="E7" s="6" t="inlineStr">
        <is>
          <t>Allowance</t>
        </is>
      </c>
      <c r="F7" s="6" t="inlineStr"/>
      <c r="G7" s="7" t="n"/>
      <c r="H7" s="8">
        <f>IF(G7="","",C7*G7)</f>
        <v/>
      </c>
    </row>
    <row r="8">
      <c r="A8" s="6" t="inlineStr">
        <is>
          <t>Soil fittings</t>
        </is>
      </c>
      <c r="B8" s="6" t="inlineStr">
        <is>
          <t>110mm 135° (45°) bends</t>
        </is>
      </c>
      <c r="C8" s="6" t="n">
        <v>6</v>
      </c>
      <c r="D8" s="6" t="inlineStr">
        <is>
          <t>no</t>
        </is>
      </c>
      <c r="E8" s="6" t="inlineStr">
        <is>
          <t>Allowance</t>
        </is>
      </c>
      <c r="F8" s="6" t="inlineStr">
        <is>
          <t>Below-floor diagonal runs</t>
        </is>
      </c>
      <c r="G8" s="7" t="n"/>
      <c r="H8" s="8">
        <f>IF(G8="","",C8*G8)</f>
        <v/>
      </c>
    </row>
    <row r="9">
      <c r="A9" s="6" t="inlineStr">
        <is>
          <t>Soil fittings</t>
        </is>
      </c>
      <c r="B9" s="6" t="inlineStr">
        <is>
          <t>110mm single branch (88° / swept)</t>
        </is>
      </c>
      <c r="C9" s="6" t="n">
        <v>3</v>
      </c>
      <c r="D9" s="6" t="inlineStr">
        <is>
          <t>no</t>
        </is>
      </c>
      <c r="E9" s="6" t="inlineStr">
        <is>
          <t>WC connections</t>
        </is>
      </c>
      <c r="F9" s="6" t="inlineStr"/>
      <c r="G9" s="7" t="n"/>
      <c r="H9" s="8">
        <f>IF(G9="","",C9*G9)</f>
        <v/>
      </c>
    </row>
    <row r="10">
      <c r="A10" s="6" t="inlineStr">
        <is>
          <t>Soil fittings</t>
        </is>
      </c>
      <c r="B10" s="6" t="inlineStr">
        <is>
          <t>110mm access pipe / inspection port</t>
        </is>
      </c>
      <c r="C10" s="6" t="n">
        <v>2</v>
      </c>
      <c r="D10" s="6" t="inlineStr">
        <is>
          <t>no</t>
        </is>
      </c>
      <c r="E10" s="6" t="inlineStr">
        <is>
          <t>Dwg note 5 – access to all stacks</t>
        </is>
      </c>
      <c r="F10" s="6" t="inlineStr">
        <is>
          <t>Access panels by builder at 1200 AFFL</t>
        </is>
      </c>
      <c r="G10" s="7" t="n"/>
      <c r="H10" s="8">
        <f>IF(G10="","",C10*G10)</f>
        <v/>
      </c>
    </row>
    <row r="11">
      <c r="A11" s="6" t="inlineStr">
        <is>
          <t>Soil fittings</t>
        </is>
      </c>
      <c r="B11" s="6" t="inlineStr">
        <is>
          <t>110mm strap-on boss / connection to existing SVP</t>
        </is>
      </c>
      <c r="C11" s="6" t="n">
        <v>2</v>
      </c>
      <c r="D11" s="6" t="inlineStr">
        <is>
          <t>no</t>
        </is>
      </c>
      <c r="E11" s="6" t="inlineStr">
        <is>
          <t>Drawing</t>
        </is>
      </c>
      <c r="F11" s="6" t="inlineStr">
        <is>
          <t>Check existing SVP material on site (cast iron?)</t>
        </is>
      </c>
      <c r="G11" s="7" t="n"/>
      <c r="H11" s="8">
        <f>IF(G11="","",C11*G11)</f>
        <v/>
      </c>
    </row>
    <row r="12">
      <c r="A12" s="6" t="inlineStr">
        <is>
          <t>Soil fittings</t>
        </is>
      </c>
      <c r="B12" s="6" t="inlineStr">
        <is>
          <t>Cast-iron to PVC transition coupling (e.g. Fernco) 110mm</t>
        </is>
      </c>
      <c r="C12" s="6" t="n">
        <v>2</v>
      </c>
      <c r="D12" s="6" t="inlineStr">
        <is>
          <t>no</t>
        </is>
      </c>
      <c r="E12" s="6" t="inlineStr">
        <is>
          <t>Provisional</t>
        </is>
      </c>
      <c r="F12" s="6" t="inlineStr">
        <is>
          <t>Only if existing stack is cast iron</t>
        </is>
      </c>
      <c r="G12" s="7" t="n"/>
      <c r="H12" s="8">
        <f>IF(G12="","",C12*G12)</f>
        <v/>
      </c>
    </row>
    <row r="13">
      <c r="A13" s="6" t="inlineStr">
        <is>
          <t>Soil fittings</t>
        </is>
      </c>
      <c r="B13" s="6" t="inlineStr">
        <is>
          <t>110mm Air Admittance Valve (internal, e.g. Durgo)</t>
        </is>
      </c>
      <c r="C13" s="6" t="n">
        <v>1</v>
      </c>
      <c r="D13" s="6" t="inlineStr">
        <is>
          <t>no</t>
        </is>
      </c>
      <c r="E13" s="6" t="inlineStr">
        <is>
          <t>Drawing – 'New 110mm AAV'</t>
        </is>
      </c>
      <c r="F13" s="6" t="inlineStr">
        <is>
          <t>Boxed in with access panel (dwg note 4)</t>
        </is>
      </c>
      <c r="G13" s="7" t="n"/>
      <c r="H13" s="8">
        <f>IF(G13="","",C13*G13)</f>
        <v/>
      </c>
    </row>
    <row r="14">
      <c r="A14" s="6" t="inlineStr">
        <is>
          <t>Soil fittings</t>
        </is>
      </c>
      <c r="B14" s="6" t="inlineStr">
        <is>
          <t>110mm floor pop-up / rise-from-below connection</t>
        </is>
      </c>
      <c r="C14" s="6" t="n">
        <v>2</v>
      </c>
      <c r="D14" s="6" t="inlineStr">
        <is>
          <t>no</t>
        </is>
      </c>
      <c r="E14" s="6" t="inlineStr">
        <is>
          <t>Drawing – 2 no. 'New 110mm pop-up'</t>
        </is>
      </c>
      <c r="F14" s="6" t="inlineStr"/>
      <c r="G14" s="7" t="n"/>
      <c r="H14" s="8">
        <f>IF(G14="","",C14*G14)</f>
        <v/>
      </c>
    </row>
    <row r="15">
      <c r="A15" s="6" t="inlineStr">
        <is>
          <t>Soil fittings</t>
        </is>
      </c>
      <c r="B15" s="6" t="inlineStr">
        <is>
          <t>WC pan connector 110mm (straight/offset)</t>
        </is>
      </c>
      <c r="C15" s="6" t="n">
        <v>3</v>
      </c>
      <c r="D15" s="6" t="inlineStr">
        <is>
          <t>no</t>
        </is>
      </c>
      <c r="E15" s="6" t="inlineStr">
        <is>
          <t>3 no. WCs</t>
        </is>
      </c>
      <c r="F15" s="6" t="inlineStr"/>
      <c r="G15" s="7" t="n"/>
      <c r="H15" s="8">
        <f>IF(G15="","",C15*G15)</f>
        <v/>
      </c>
    </row>
    <row r="16">
      <c r="A16" s="6" t="inlineStr">
        <is>
          <t>Soil fittings</t>
        </is>
      </c>
      <c r="B16" s="6" t="inlineStr">
        <is>
          <t>110mm pipe clips / brackets</t>
        </is>
      </c>
      <c r="C16" s="6" t="n">
        <v>16</v>
      </c>
      <c r="D16" s="6" t="inlineStr">
        <is>
          <t>no</t>
        </is>
      </c>
      <c r="E16" s="6" t="inlineStr">
        <is>
          <t>Allowance</t>
        </is>
      </c>
      <c r="F16" s="6" t="inlineStr"/>
      <c r="G16" s="7" t="n"/>
      <c r="H16" s="8">
        <f>IF(G16="","",C16*G16)</f>
        <v/>
      </c>
    </row>
    <row r="17">
      <c r="A17" s="6" t="inlineStr">
        <is>
          <t>Soil fittings</t>
        </is>
      </c>
      <c r="B17" s="6" t="inlineStr">
        <is>
          <t>110mm fire collar (60 min)</t>
        </is>
      </c>
      <c r="C17" s="6" t="n">
        <v>2</v>
      </c>
      <c r="D17" s="6" t="inlineStr">
        <is>
          <t>no</t>
        </is>
      </c>
      <c r="E17" s="6" t="inlineStr">
        <is>
          <t>Provisional – dwg note 8</t>
        </is>
      </c>
      <c r="F17" s="6" t="inlineStr">
        <is>
          <t>Where pipe passes fire-rated wall</t>
        </is>
      </c>
      <c r="G17" s="7" t="n"/>
      <c r="H17" s="8">
        <f>IF(G17="","",C17*G17)</f>
        <v/>
      </c>
    </row>
    <row r="18">
      <c r="A18" s="6" t="inlineStr">
        <is>
          <t>Waste pipe</t>
        </is>
      </c>
      <c r="B18" s="6" t="inlineStr">
        <is>
          <t>40mm solvent weld waste pipe, 3m lengths</t>
        </is>
      </c>
      <c r="C18" s="6" t="n">
        <v>4</v>
      </c>
      <c r="D18" s="6" t="inlineStr">
        <is>
          <t>no</t>
        </is>
      </c>
      <c r="E18" s="6" t="inlineStr">
        <is>
          <t>Measured c.8m (3.5m below floor, c.4.5m low level) + 15%</t>
        </is>
      </c>
      <c r="F18" s="6" t="inlineStr"/>
      <c r="G18" s="7" t="n"/>
      <c r="H18" s="8">
        <f>IF(G18="","",C18*G18)</f>
        <v/>
      </c>
    </row>
    <row r="19">
      <c r="A19" s="6" t="inlineStr">
        <is>
          <t>Waste pipe</t>
        </is>
      </c>
      <c r="B19" s="6" t="inlineStr">
        <is>
          <t>32mm solvent weld waste pipe, 3m lengths</t>
        </is>
      </c>
      <c r="C19" s="6" t="n">
        <v>2</v>
      </c>
      <c r="D19" s="6" t="inlineStr">
        <is>
          <t>no</t>
        </is>
      </c>
      <c r="E19" s="6" t="inlineStr">
        <is>
          <t>WHB branches</t>
        </is>
      </c>
      <c r="F19" s="6" t="inlineStr"/>
      <c r="G19" s="7" t="n"/>
      <c r="H19" s="8">
        <f>IF(G19="","",C19*G19)</f>
        <v/>
      </c>
    </row>
    <row r="20">
      <c r="A20" s="6" t="inlineStr">
        <is>
          <t>Waste pipe</t>
        </is>
      </c>
      <c r="B20" s="6" t="inlineStr">
        <is>
          <t>50mm solvent weld waste pipe, 3m length</t>
        </is>
      </c>
      <c r="C20" s="6" t="n">
        <v>1</v>
      </c>
      <c r="D20" s="6" t="inlineStr">
        <is>
          <t>no</t>
        </is>
      </c>
      <c r="E20" s="6" t="inlineStr">
        <is>
          <t>Grease trap 50mm in/out</t>
        </is>
      </c>
      <c r="F20" s="6" t="inlineStr"/>
      <c r="G20" s="7" t="n"/>
      <c r="H20" s="8">
        <f>IF(G20="","",C20*G20)</f>
        <v/>
      </c>
    </row>
    <row r="21">
      <c r="A21" s="6" t="inlineStr">
        <is>
          <t>Waste fittings</t>
        </is>
      </c>
      <c r="B21" s="6" t="inlineStr">
        <is>
          <t>40mm bends 90°/135° (mixed)</t>
        </is>
      </c>
      <c r="C21" s="6" t="n">
        <v>12</v>
      </c>
      <c r="D21" s="6" t="inlineStr">
        <is>
          <t>no</t>
        </is>
      </c>
      <c r="E21" s="6" t="inlineStr">
        <is>
          <t>Allowance</t>
        </is>
      </c>
      <c r="F21" s="6" t="inlineStr"/>
      <c r="G21" s="7" t="n"/>
      <c r="H21" s="8">
        <f>IF(G21="","",C21*G21)</f>
        <v/>
      </c>
    </row>
    <row r="22">
      <c r="A22" s="6" t="inlineStr">
        <is>
          <t>Waste fittings</t>
        </is>
      </c>
      <c r="B22" s="6" t="inlineStr">
        <is>
          <t>32mm bends 90°/135° (mixed)</t>
        </is>
      </c>
      <c r="C22" s="6" t="n">
        <v>8</v>
      </c>
      <c r="D22" s="6" t="inlineStr">
        <is>
          <t>no</t>
        </is>
      </c>
      <c r="E22" s="6" t="inlineStr">
        <is>
          <t>Allowance</t>
        </is>
      </c>
      <c r="F22" s="6" t="inlineStr"/>
      <c r="G22" s="7" t="n"/>
      <c r="H22" s="8">
        <f>IF(G22="","",C22*G22)</f>
        <v/>
      </c>
    </row>
    <row r="23">
      <c r="A23" s="6" t="inlineStr">
        <is>
          <t>Waste fittings</t>
        </is>
      </c>
      <c r="B23" s="6" t="inlineStr">
        <is>
          <t>40mm tees / swept tees</t>
        </is>
      </c>
      <c r="C23" s="6" t="n">
        <v>3</v>
      </c>
      <c r="D23" s="6" t="inlineStr">
        <is>
          <t>no</t>
        </is>
      </c>
      <c r="E23" s="6" t="inlineStr">
        <is>
          <t>Allowance</t>
        </is>
      </c>
      <c r="F23" s="6" t="inlineStr"/>
      <c r="G23" s="7" t="n"/>
      <c r="H23" s="8">
        <f>IF(G23="","",C23*G23)</f>
        <v/>
      </c>
    </row>
    <row r="24">
      <c r="A24" s="6" t="inlineStr">
        <is>
          <t>Waste fittings</t>
        </is>
      </c>
      <c r="B24" s="6" t="inlineStr">
        <is>
          <t>40mm rodding eye / access plug</t>
        </is>
      </c>
      <c r="C24" s="6" t="n">
        <v>4</v>
      </c>
      <c r="D24" s="6" t="inlineStr">
        <is>
          <t>no</t>
        </is>
      </c>
      <c r="E24" s="6" t="inlineStr">
        <is>
          <t>Drawing – 4 no. '40Ø RE'</t>
        </is>
      </c>
      <c r="F24" s="6" t="inlineStr"/>
      <c r="G24" s="7" t="n"/>
      <c r="H24" s="8">
        <f>IF(G24="","",C24*G24)</f>
        <v/>
      </c>
    </row>
    <row r="25">
      <c r="A25" s="6" t="inlineStr">
        <is>
          <t>Waste fittings</t>
        </is>
      </c>
      <c r="B25" s="6" t="inlineStr">
        <is>
          <t>40mm floor pop-up connection</t>
        </is>
      </c>
      <c r="C25" s="6" t="n">
        <v>1</v>
      </c>
      <c r="D25" s="6" t="inlineStr">
        <is>
          <t>no</t>
        </is>
      </c>
      <c r="E25" s="6" t="inlineStr">
        <is>
          <t>Drawing – 'New 40mm pop-up'</t>
        </is>
      </c>
      <c r="F25" s="6" t="inlineStr"/>
      <c r="G25" s="7" t="n"/>
      <c r="H25" s="8">
        <f>IF(G25="","",C25*G25)</f>
        <v/>
      </c>
    </row>
    <row r="26">
      <c r="A26" s="6" t="inlineStr">
        <is>
          <t>Waste fittings</t>
        </is>
      </c>
      <c r="B26" s="6" t="inlineStr">
        <is>
          <t>Boss adaptors 32/40mm to 110 stack</t>
        </is>
      </c>
      <c r="C26" s="6" t="n">
        <v>2</v>
      </c>
      <c r="D26" s="6" t="inlineStr">
        <is>
          <t>no</t>
        </is>
      </c>
      <c r="E26" s="6" t="inlineStr">
        <is>
          <t>Allowance</t>
        </is>
      </c>
      <c r="F26" s="6" t="inlineStr"/>
      <c r="G26" s="7" t="n"/>
      <c r="H26" s="8">
        <f>IF(G26="","",C26*G26)</f>
        <v/>
      </c>
    </row>
    <row r="27">
      <c r="A27" s="6" t="inlineStr">
        <is>
          <t>Waste fittings</t>
        </is>
      </c>
      <c r="B27" s="6" t="inlineStr">
        <is>
          <t>50mm to 40mm reducers / connectors</t>
        </is>
      </c>
      <c r="C27" s="6" t="n">
        <v>2</v>
      </c>
      <c r="D27" s="6" t="inlineStr">
        <is>
          <t>no</t>
        </is>
      </c>
      <c r="E27" s="6" t="inlineStr">
        <is>
          <t>Grease trap connections</t>
        </is>
      </c>
      <c r="F27" s="6" t="inlineStr"/>
      <c r="G27" s="7" t="n"/>
      <c r="H27" s="8">
        <f>IF(G27="","",C27*G27)</f>
        <v/>
      </c>
    </row>
    <row r="28">
      <c r="A28" s="6" t="inlineStr">
        <is>
          <t>Waste fittings</t>
        </is>
      </c>
      <c r="B28" s="6" t="inlineStr">
        <is>
          <t>32mm bottle trap (75mm seal)</t>
        </is>
      </c>
      <c r="C28" s="6" t="n">
        <v>4</v>
      </c>
      <c r="D28" s="6" t="inlineStr">
        <is>
          <t>no</t>
        </is>
      </c>
      <c r="E28" s="6" t="inlineStr">
        <is>
          <t>4 no. WHBs (3 WCs + kitchen)</t>
        </is>
      </c>
      <c r="F28" s="6" t="inlineStr"/>
      <c r="G28" s="7" t="n"/>
      <c r="H28" s="8">
        <f>IF(G28="","",C28*G28)</f>
        <v/>
      </c>
    </row>
    <row r="29">
      <c r="A29" s="6" t="inlineStr">
        <is>
          <t>Waste fittings</t>
        </is>
      </c>
      <c r="B29" s="6" t="inlineStr">
        <is>
          <t>40mm sink trap with dishwasher spigot</t>
        </is>
      </c>
      <c r="C29" s="6" t="n">
        <v>1</v>
      </c>
      <c r="D29" s="6" t="inlineStr">
        <is>
          <t>no</t>
        </is>
      </c>
      <c r="E29" s="6" t="inlineStr">
        <is>
          <t>Kitchen sink + DW</t>
        </is>
      </c>
      <c r="F29" s="6" t="inlineStr"/>
      <c r="G29" s="7" t="n"/>
      <c r="H29" s="8">
        <f>IF(G29="","",C29*G29)</f>
        <v/>
      </c>
    </row>
    <row r="30">
      <c r="A30" s="6" t="inlineStr">
        <is>
          <t>Waste fittings</t>
        </is>
      </c>
      <c r="B30" s="6" t="inlineStr">
        <is>
          <t>Waste pipe clips 32/40mm</t>
        </is>
      </c>
      <c r="C30" s="6" t="n">
        <v>30</v>
      </c>
      <c r="D30" s="6" t="inlineStr">
        <is>
          <t>no</t>
        </is>
      </c>
      <c r="E30" s="6" t="inlineStr">
        <is>
          <t>Allowance</t>
        </is>
      </c>
      <c r="F30" s="6" t="inlineStr"/>
      <c r="G30" s="7" t="n"/>
      <c r="H30" s="8">
        <f>IF(G30="","",C30*G30)</f>
        <v/>
      </c>
    </row>
    <row r="31">
      <c r="A31" s="6" t="inlineStr">
        <is>
          <t>Waste fittings</t>
        </is>
      </c>
      <c r="B31" s="6" t="inlineStr">
        <is>
          <t>40mm fire collar (60 min)</t>
        </is>
      </c>
      <c r="C31" s="6" t="n">
        <v>2</v>
      </c>
      <c r="D31" s="6" t="inlineStr">
        <is>
          <t>no</t>
        </is>
      </c>
      <c r="E31" s="6" t="inlineStr">
        <is>
          <t>Provisional – dwg note 8</t>
        </is>
      </c>
      <c r="F31" s="6" t="inlineStr"/>
      <c r="G31" s="7" t="n"/>
      <c r="H31" s="8">
        <f>IF(G31="","",C31*G31)</f>
        <v/>
      </c>
    </row>
    <row r="32">
      <c r="A32" s="4" t="inlineStr">
        <is>
          <t>HOT &amp; COLD WATER  (Dwg E23025 (53) 001 BW2)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6" t="inlineStr">
        <is>
          <t>Copper pipe</t>
        </is>
      </c>
      <c r="B33" s="6" t="inlineStr">
        <is>
          <t>22mm copper tube (Table X), 3m lengths</t>
        </is>
      </c>
      <c r="C33" s="6" t="n">
        <v>5</v>
      </c>
      <c r="D33" s="6" t="inlineStr">
        <is>
          <t>no</t>
        </is>
      </c>
      <c r="E33" s="6" t="inlineStr">
        <is>
          <t>Measured c.9.6m of 22mm MWS + incomers (TBC) + 15%</t>
        </is>
      </c>
      <c r="F33" s="6" t="inlineStr">
        <is>
          <t>2 no. incoming 22mm MWS 'TBC' – length unknown</t>
        </is>
      </c>
      <c r="G33" s="7" t="n"/>
      <c r="H33" s="8">
        <f>IF(G33="","",C33*G33)</f>
        <v/>
      </c>
    </row>
    <row r="34">
      <c r="A34" s="6" t="inlineStr">
        <is>
          <t>Copper pipe</t>
        </is>
      </c>
      <c r="B34" s="6" t="inlineStr">
        <is>
          <t>15mm copper tube (Table X), 3m lengths</t>
        </is>
      </c>
      <c r="C34" s="6" t="n">
        <v>12</v>
      </c>
      <c r="D34" s="6" t="inlineStr">
        <is>
          <t>no</t>
        </is>
      </c>
      <c r="E34" s="6" t="inlineStr">
        <is>
          <t>c.7m horizontal branches + c.25m drops to 14 outlets + 15%</t>
        </is>
      </c>
      <c r="F34" s="6" t="inlineStr">
        <is>
          <t>Drops from high level not shown on plan – allowance</t>
        </is>
      </c>
      <c r="G34" s="7" t="n"/>
      <c r="H34" s="8">
        <f>IF(G34="","",C34*G34)</f>
        <v/>
      </c>
    </row>
    <row r="35">
      <c r="A35" s="6" t="inlineStr">
        <is>
          <t>Copper fittings</t>
        </is>
      </c>
      <c r="B35" s="6" t="inlineStr">
        <is>
          <t>22mm elbows</t>
        </is>
      </c>
      <c r="C35" s="6" t="n">
        <v>12</v>
      </c>
      <c r="D35" s="6" t="inlineStr">
        <is>
          <t>no</t>
        </is>
      </c>
      <c r="E35" s="6" t="inlineStr">
        <is>
          <t>Allowance</t>
        </is>
      </c>
      <c r="F35" s="6" t="inlineStr">
        <is>
          <t>Endfeed or press-fit – your choice</t>
        </is>
      </c>
      <c r="G35" s="7" t="n"/>
      <c r="H35" s="8">
        <f>IF(G35="","",C35*G35)</f>
        <v/>
      </c>
    </row>
    <row r="36">
      <c r="A36" s="6" t="inlineStr">
        <is>
          <t>Copper fittings</t>
        </is>
      </c>
      <c r="B36" s="6" t="inlineStr">
        <is>
          <t>22mm equal tees</t>
        </is>
      </c>
      <c r="C36" s="6" t="n">
        <v>4</v>
      </c>
      <c r="D36" s="6" t="inlineStr">
        <is>
          <t>no</t>
        </is>
      </c>
      <c r="E36" s="6" t="inlineStr">
        <is>
          <t>Allowance</t>
        </is>
      </c>
      <c r="F36" s="6" t="inlineStr"/>
      <c r="G36" s="7" t="n"/>
      <c r="H36" s="8">
        <f>IF(G36="","",C36*G36)</f>
        <v/>
      </c>
    </row>
    <row r="37">
      <c r="A37" s="6" t="inlineStr">
        <is>
          <t>Copper fittings</t>
        </is>
      </c>
      <c r="B37" s="6" t="inlineStr">
        <is>
          <t>22 x 15 x 15 / 22 x 22 x 15 reducing tees</t>
        </is>
      </c>
      <c r="C37" s="6" t="n">
        <v>10</v>
      </c>
      <c r="D37" s="6" t="inlineStr">
        <is>
          <t>no</t>
        </is>
      </c>
      <c r="E37" s="6" t="inlineStr">
        <is>
          <t>Allowance</t>
        </is>
      </c>
      <c r="F37" s="6" t="inlineStr"/>
      <c r="G37" s="7" t="n"/>
      <c r="H37" s="8">
        <f>IF(G37="","",C37*G37)</f>
        <v/>
      </c>
    </row>
    <row r="38">
      <c r="A38" s="6" t="inlineStr">
        <is>
          <t>Copper fittings</t>
        </is>
      </c>
      <c r="B38" s="6" t="inlineStr">
        <is>
          <t>15mm elbows</t>
        </is>
      </c>
      <c r="C38" s="6" t="n">
        <v>45</v>
      </c>
      <c r="D38" s="6" t="inlineStr">
        <is>
          <t>no</t>
        </is>
      </c>
      <c r="E38" s="6" t="inlineStr">
        <is>
          <t>Allowance</t>
        </is>
      </c>
      <c r="F38" s="6" t="inlineStr"/>
      <c r="G38" s="7" t="n"/>
      <c r="H38" s="8">
        <f>IF(G38="","",C38*G38)</f>
        <v/>
      </c>
    </row>
    <row r="39">
      <c r="A39" s="6" t="inlineStr">
        <is>
          <t>Copper fittings</t>
        </is>
      </c>
      <c r="B39" s="6" t="inlineStr">
        <is>
          <t>15mm equal tees</t>
        </is>
      </c>
      <c r="C39" s="6" t="n">
        <v>12</v>
      </c>
      <c r="D39" s="6" t="inlineStr">
        <is>
          <t>no</t>
        </is>
      </c>
      <c r="E39" s="6" t="inlineStr">
        <is>
          <t>Allowance</t>
        </is>
      </c>
      <c r="F39" s="6" t="inlineStr"/>
      <c r="G39" s="7" t="n"/>
      <c r="H39" s="8">
        <f>IF(G39="","",C39*G39)</f>
        <v/>
      </c>
    </row>
    <row r="40">
      <c r="A40" s="6" t="inlineStr">
        <is>
          <t>Copper fittings</t>
        </is>
      </c>
      <c r="B40" s="6" t="inlineStr">
        <is>
          <t>Straight couplers 15/22mm</t>
        </is>
      </c>
      <c r="C40" s="6" t="n">
        <v>15</v>
      </c>
      <c r="D40" s="6" t="inlineStr">
        <is>
          <t>no</t>
        </is>
      </c>
      <c r="E40" s="6" t="inlineStr">
        <is>
          <t>Allowance</t>
        </is>
      </c>
      <c r="F40" s="6" t="inlineStr"/>
      <c r="G40" s="7" t="n"/>
      <c r="H40" s="8">
        <f>IF(G40="","",C40*G40)</f>
        <v/>
      </c>
    </row>
    <row r="41">
      <c r="A41" s="6" t="inlineStr">
        <is>
          <t>Valves</t>
        </is>
      </c>
      <c r="B41" s="6" t="inlineStr">
        <is>
          <t>22mm full-bore isolating valve (incoming mains)</t>
        </is>
      </c>
      <c r="C41" s="6" t="n">
        <v>2</v>
      </c>
      <c r="D41" s="6" t="inlineStr">
        <is>
          <t>no</t>
        </is>
      </c>
      <c r="E41" s="6" t="inlineStr">
        <is>
          <t>2 no. incoming MWS</t>
        </is>
      </c>
      <c r="F41" s="6" t="inlineStr"/>
      <c r="G41" s="7" t="n"/>
      <c r="H41" s="8">
        <f>IF(G41="","",C41*G41)</f>
        <v/>
      </c>
    </row>
    <row r="42">
      <c r="A42" s="6" t="inlineStr">
        <is>
          <t>Valves</t>
        </is>
      </c>
      <c r="B42" s="6" t="inlineStr">
        <is>
          <t>15mm ¼-turn isolating valve (Ball-o-fix type)</t>
        </is>
      </c>
      <c r="C42" s="6" t="n">
        <v>23</v>
      </c>
      <c r="D42" s="6" t="inlineStr">
        <is>
          <t>no</t>
        </is>
      </c>
      <c r="E42" s="6" t="inlineStr">
        <is>
          <t>Dwg note 5 – every outlet (14) + 3 per heater (9)</t>
        </is>
      </c>
      <c r="F42" s="6" t="inlineStr"/>
      <c r="G42" s="7" t="n"/>
      <c r="H42" s="8">
        <f>IF(G42="","",C42*G42)</f>
        <v/>
      </c>
    </row>
    <row r="43">
      <c r="A43" s="6" t="inlineStr">
        <is>
          <t>Valves</t>
        </is>
      </c>
      <c r="B43" s="6" t="inlineStr">
        <is>
          <t>Drain-off cock 15mm</t>
        </is>
      </c>
      <c r="C43" s="6" t="n">
        <v>3</v>
      </c>
      <c r="D43" s="6" t="inlineStr">
        <is>
          <t>no</t>
        </is>
      </c>
      <c r="E43" s="6" t="inlineStr">
        <is>
          <t>Dwg note 6 – low points</t>
        </is>
      </c>
      <c r="F43" s="6" t="inlineStr"/>
      <c r="G43" s="7" t="n"/>
      <c r="H43" s="8">
        <f>IF(G43="","",C43*G43)</f>
        <v/>
      </c>
    </row>
    <row r="44">
      <c r="A44" s="6" t="inlineStr">
        <is>
          <t>Valves</t>
        </is>
      </c>
      <c r="B44" s="6" t="inlineStr">
        <is>
          <t>Automatic air vent</t>
        </is>
      </c>
      <c r="C44" s="6" t="n">
        <v>2</v>
      </c>
      <c r="D44" s="6" t="inlineStr">
        <is>
          <t>no</t>
        </is>
      </c>
      <c r="E44" s="6" t="inlineStr">
        <is>
          <t>Dwg note 6 – high points</t>
        </is>
      </c>
      <c r="F44" s="6" t="inlineStr"/>
      <c r="G44" s="7" t="n"/>
      <c r="H44" s="8">
        <f>IF(G44="","",C44*G44)</f>
        <v/>
      </c>
    </row>
    <row r="45">
      <c r="A45" s="6" t="inlineStr">
        <is>
          <t>Valves</t>
        </is>
      </c>
      <c r="B45" s="6" t="inlineStr">
        <is>
          <t>TMV3 thermostatic mixing valve 15mm</t>
        </is>
      </c>
      <c r="C45" s="6" t="n">
        <v>4</v>
      </c>
      <c r="D45" s="6" t="inlineStr">
        <is>
          <t>no</t>
        </is>
      </c>
      <c r="E45" s="6" t="inlineStr">
        <is>
          <t>Drawing – 4 no. TMV (WHBs)</t>
        </is>
      </c>
      <c r="F45" s="6" t="inlineStr">
        <is>
          <t>TMV3 cert needed for accessible WC</t>
        </is>
      </c>
      <c r="G45" s="7" t="n"/>
      <c r="H45" s="8">
        <f>IF(G45="","",C45*G45)</f>
        <v/>
      </c>
    </row>
    <row r="46">
      <c r="A46" s="6" t="inlineStr">
        <is>
          <t>Valves</t>
        </is>
      </c>
      <c r="B46" s="6" t="inlineStr">
        <is>
          <t>Double check valve 15mm</t>
        </is>
      </c>
      <c r="C46" s="6" t="n">
        <v>1</v>
      </c>
      <c r="D46" s="6" t="inlineStr">
        <is>
          <t>no</t>
        </is>
      </c>
      <c r="E46" s="6" t="inlineStr">
        <is>
          <t>Kitchen / dishwasher feed</t>
        </is>
      </c>
      <c r="F46" s="6" t="inlineStr"/>
      <c r="G46" s="7" t="n"/>
      <c r="H46" s="8">
        <f>IF(G46="","",C46*G46)</f>
        <v/>
      </c>
    </row>
    <row r="47">
      <c r="A47" s="6" t="inlineStr">
        <is>
          <t>Water heaters</t>
        </is>
      </c>
      <c r="B47" s="6" t="inlineStr">
        <is>
          <t>HYCO IN30T 3kW instantaneous water heater</t>
        </is>
      </c>
      <c r="C47" s="6" t="n">
        <v>3</v>
      </c>
      <c r="D47" s="6" t="inlineStr">
        <is>
          <t>no</t>
        </is>
      </c>
      <c r="E47" s="6" t="inlineStr">
        <is>
          <t>WH01, WH02, WH03</t>
        </is>
      </c>
      <c r="F47" s="9" t="inlineStr">
        <is>
          <t>WH04 (SF10K kitchen) EXCLUDED in BOQ</t>
        </is>
      </c>
      <c r="G47" s="7" t="n"/>
      <c r="H47" s="8">
        <f>IF(G47="","",C47*G47)</f>
        <v/>
      </c>
    </row>
    <row r="48">
      <c r="A48" s="6" t="inlineStr">
        <is>
          <t>Water heaters</t>
        </is>
      </c>
      <c r="B48" s="6" t="inlineStr">
        <is>
          <t>Pressure reducing valve set 3.5 bar, 15mm</t>
        </is>
      </c>
      <c r="C48" s="6" t="n">
        <v>3</v>
      </c>
      <c r="D48" s="6" t="inlineStr">
        <is>
          <t>no</t>
        </is>
      </c>
      <c r="E48" s="6" t="inlineStr">
        <is>
          <t>Heater detail – 1 per heater</t>
        </is>
      </c>
      <c r="F48" s="9" t="inlineStr">
        <is>
          <t>Query: expansion kit usually not needed on instantaneous heater</t>
        </is>
      </c>
      <c r="G48" s="7" t="n"/>
      <c r="H48" s="8">
        <f>IF(G48="","",C48*G48)</f>
        <v/>
      </c>
    </row>
    <row r="49">
      <c r="A49" s="6" t="inlineStr">
        <is>
          <t>Water heaters</t>
        </is>
      </c>
      <c r="B49" s="6" t="inlineStr">
        <is>
          <t>Check valve 15mm</t>
        </is>
      </c>
      <c r="C49" s="6" t="n">
        <v>3</v>
      </c>
      <c r="D49" s="6" t="inlineStr">
        <is>
          <t>no</t>
        </is>
      </c>
      <c r="E49" s="6" t="inlineStr">
        <is>
          <t>Heater detail</t>
        </is>
      </c>
      <c r="F49" s="6" t="inlineStr"/>
      <c r="G49" s="7" t="n"/>
      <c r="H49" s="8">
        <f>IF(G49="","",C49*G49)</f>
        <v/>
      </c>
    </row>
    <row r="50">
      <c r="A50" s="6" t="inlineStr">
        <is>
          <t>Water heaters</t>
        </is>
      </c>
      <c r="B50" s="6" t="inlineStr">
        <is>
          <t>Potable expansion vessel (3.5 bar precharge), small</t>
        </is>
      </c>
      <c r="C50" s="6" t="n">
        <v>3</v>
      </c>
      <c r="D50" s="6" t="inlineStr">
        <is>
          <t>no</t>
        </is>
      </c>
      <c r="E50" s="6" t="inlineStr">
        <is>
          <t>Heater detail</t>
        </is>
      </c>
      <c r="F50" s="9" t="inlineStr">
        <is>
          <t>Query as above</t>
        </is>
      </c>
      <c r="G50" s="7" t="n"/>
      <c r="H50" s="8">
        <f>IF(G50="","",C50*G50)</f>
        <v/>
      </c>
    </row>
    <row r="51">
      <c r="A51" s="6" t="inlineStr">
        <is>
          <t>Water heaters</t>
        </is>
      </c>
      <c r="B51" s="6" t="inlineStr">
        <is>
          <t>Pressure relief valve 6 bar + tundish / discharge to drain</t>
        </is>
      </c>
      <c r="C51" s="6" t="n">
        <v>3</v>
      </c>
      <c r="D51" s="6" t="inlineStr">
        <is>
          <t>no</t>
        </is>
      </c>
      <c r="E51" s="6" t="inlineStr">
        <is>
          <t>Heater detail</t>
        </is>
      </c>
      <c r="F51" s="6" t="inlineStr"/>
      <c r="G51" s="7" t="n"/>
      <c r="H51" s="8">
        <f>IF(G51="","",C51*G51)</f>
        <v/>
      </c>
    </row>
    <row r="52">
      <c r="A52" s="6" t="inlineStr">
        <is>
          <t>Water heaters</t>
        </is>
      </c>
      <c r="B52" s="6" t="inlineStr">
        <is>
          <t>Dielectric unions 15mm</t>
        </is>
      </c>
      <c r="C52" s="6" t="n">
        <v>6</v>
      </c>
      <c r="D52" s="6" t="inlineStr">
        <is>
          <t>no</t>
        </is>
      </c>
      <c r="E52" s="6" t="inlineStr">
        <is>
          <t>Heater detail – 2 per heater</t>
        </is>
      </c>
      <c r="F52" s="6" t="inlineStr"/>
      <c r="G52" s="7" t="n"/>
      <c r="H52" s="8">
        <f>IF(G52="","",C52*G52)</f>
        <v/>
      </c>
    </row>
    <row r="53">
      <c r="A53" s="6" t="inlineStr">
        <is>
          <t>Connections</t>
        </is>
      </c>
      <c r="B53" s="6" t="inlineStr">
        <is>
          <t>Flexible tap connectors 15mm x ½" / cistern connectors</t>
        </is>
      </c>
      <c r="C53" s="6" t="n">
        <v>14</v>
      </c>
      <c r="D53" s="6" t="inlineStr">
        <is>
          <t>no</t>
        </is>
      </c>
      <c r="E53" s="6" t="inlineStr">
        <is>
          <t>WHBs, sink, WCs</t>
        </is>
      </c>
      <c r="F53" s="6" t="inlineStr"/>
      <c r="G53" s="7" t="n"/>
      <c r="H53" s="8">
        <f>IF(G53="","",C53*G53)</f>
        <v/>
      </c>
    </row>
    <row r="54">
      <c r="A54" s="6" t="inlineStr">
        <is>
          <t>Connections</t>
        </is>
      </c>
      <c r="B54" s="6" t="inlineStr">
        <is>
          <t>Dishwasher valve / washing-machine type valve 15mm</t>
        </is>
      </c>
      <c r="C54" s="6" t="n">
        <v>1</v>
      </c>
      <c r="D54" s="6" t="inlineStr">
        <is>
          <t>no</t>
        </is>
      </c>
      <c r="E54" s="6" t="inlineStr">
        <is>
          <t>Kitchen DW</t>
        </is>
      </c>
      <c r="F54" s="6" t="inlineStr"/>
      <c r="G54" s="7" t="n"/>
      <c r="H54" s="8">
        <f>IF(G54="","",C54*G54)</f>
        <v/>
      </c>
    </row>
    <row r="55">
      <c r="A55" s="6" t="inlineStr">
        <is>
          <t>Clips &amp; sundries</t>
        </is>
      </c>
      <c r="B55" s="6" t="inlineStr">
        <is>
          <t>15mm pipe clips</t>
        </is>
      </c>
      <c r="C55" s="6" t="n">
        <v>70</v>
      </c>
      <c r="D55" s="6" t="inlineStr">
        <is>
          <t>no</t>
        </is>
      </c>
      <c r="E55" s="6" t="inlineStr">
        <is>
          <t>Allowance</t>
        </is>
      </c>
      <c r="F55" s="6" t="inlineStr"/>
      <c r="G55" s="7" t="n"/>
      <c r="H55" s="8">
        <f>IF(G55="","",C55*G55)</f>
        <v/>
      </c>
    </row>
    <row r="56">
      <c r="A56" s="6" t="inlineStr">
        <is>
          <t>Clips &amp; sundries</t>
        </is>
      </c>
      <c r="B56" s="6" t="inlineStr">
        <is>
          <t>22mm pipe clips</t>
        </is>
      </c>
      <c r="C56" s="6" t="n">
        <v>20</v>
      </c>
      <c r="D56" s="6" t="inlineStr">
        <is>
          <t>no</t>
        </is>
      </c>
      <c r="E56" s="6" t="inlineStr">
        <is>
          <t>Allowance</t>
        </is>
      </c>
      <c r="F56" s="6" t="inlineStr"/>
      <c r="G56" s="7" t="n"/>
      <c r="H56" s="8">
        <f>IF(G56="","",C56*G56)</f>
        <v/>
      </c>
    </row>
    <row r="57">
      <c r="A57" s="6" t="inlineStr">
        <is>
          <t>Insulation</t>
        </is>
      </c>
      <c r="B57" s="6" t="inlineStr">
        <is>
          <t>Foil-faced Class 'O' pipe insulation, 15mm (BS5422)</t>
        </is>
      </c>
      <c r="C57" s="6" t="n">
        <v>36</v>
      </c>
      <c r="D57" s="6" t="inlineStr">
        <is>
          <t>m</t>
        </is>
      </c>
      <c r="E57" s="6" t="inlineStr">
        <is>
          <t>Dwg note 9 – all H&amp;C pipework</t>
        </is>
      </c>
      <c r="F57" s="6" t="inlineStr"/>
      <c r="G57" s="7" t="n"/>
      <c r="H57" s="8">
        <f>IF(G57="","",C57*G57)</f>
        <v/>
      </c>
    </row>
    <row r="58">
      <c r="A58" s="6" t="inlineStr">
        <is>
          <t>Insulation</t>
        </is>
      </c>
      <c r="B58" s="6" t="inlineStr">
        <is>
          <t>Foil-faced Class 'O' pipe insulation, 22mm (BS5422)</t>
        </is>
      </c>
      <c r="C58" s="6" t="n">
        <v>14</v>
      </c>
      <c r="D58" s="6" t="inlineStr">
        <is>
          <t>m</t>
        </is>
      </c>
      <c r="E58" s="6" t="inlineStr">
        <is>
          <t>Dwg note 9</t>
        </is>
      </c>
      <c r="F58" s="6" t="inlineStr"/>
      <c r="G58" s="7" t="n"/>
      <c r="H58" s="8">
        <f>IF(G58="","",C58*G58)</f>
        <v/>
      </c>
    </row>
    <row r="59">
      <c r="A59" s="6" t="inlineStr">
        <is>
          <t>Insulation</t>
        </is>
      </c>
      <c r="B59" s="6" t="inlineStr">
        <is>
          <t>Foil tape + BS1710 pipe ID banding / labels</t>
        </is>
      </c>
      <c r="C59" s="6" t="n">
        <v>1</v>
      </c>
      <c r="D59" s="6" t="inlineStr">
        <is>
          <t>lot</t>
        </is>
      </c>
      <c r="E59" s="6" t="inlineStr">
        <is>
          <t>Dwg note 9</t>
        </is>
      </c>
      <c r="F59" s="6" t="inlineStr"/>
      <c r="G59" s="7" t="n"/>
      <c r="H59" s="8">
        <f>IF(G59="","",C59*G59)</f>
        <v/>
      </c>
    </row>
    <row r="60">
      <c r="A60" s="6" t="inlineStr">
        <is>
          <t>Test &amp; commission</t>
        </is>
      </c>
      <c r="B60" s="6" t="inlineStr">
        <is>
          <t>Chlorination / disinfection (BS6700 / L8) + water sample cert</t>
        </is>
      </c>
      <c r="C60" s="6" t="n">
        <v>1</v>
      </c>
      <c r="D60" s="6" t="inlineStr">
        <is>
          <t>item</t>
        </is>
      </c>
      <c r="E60" s="6" t="inlineStr">
        <is>
          <t>Dwg note 8 &amp; 10</t>
        </is>
      </c>
      <c r="F60" s="6" t="inlineStr">
        <is>
          <t>Kit or subcontract</t>
        </is>
      </c>
      <c r="G60" s="7" t="n"/>
      <c r="H60" s="8">
        <f>IF(G60="","",C60*G60)</f>
        <v/>
      </c>
    </row>
    <row r="61">
      <c r="A61" s="4" t="inlineStr">
        <is>
          <t>SANITARYWARE &amp; FIT-OFF  (BOQ 14 / Dwg 697 AB 111C &amp; 400A)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s="6" t="inlineStr">
        <is>
          <t>Sanitaryware</t>
        </is>
      </c>
      <c r="B62" s="6" t="inlineStr">
        <is>
          <t>Close-coupled WC pan, cistern &amp; soft-close seat</t>
        </is>
      </c>
      <c r="C62" s="6" t="n">
        <v>2</v>
      </c>
      <c r="D62" s="6" t="inlineStr">
        <is>
          <t>no</t>
        </is>
      </c>
      <c r="E62" s="6" t="inlineStr">
        <is>
          <t>BOQ 14.01 &amp; 14.05</t>
        </is>
      </c>
      <c r="F62" s="6" t="inlineStr"/>
      <c r="G62" s="7" t="n"/>
      <c r="H62" s="8">
        <f>IF(G62="","",C62*G62)</f>
        <v/>
      </c>
    </row>
    <row r="63">
      <c r="A63" s="6" t="inlineStr">
        <is>
          <t>Sanitaryware</t>
        </is>
      </c>
      <c r="B63" s="6" t="inlineStr">
        <is>
          <t>Wash hand basin (standalone) + tap</t>
        </is>
      </c>
      <c r="C63" s="6" t="n">
        <v>2</v>
      </c>
      <c r="D63" s="6" t="inlineStr">
        <is>
          <t>no</t>
        </is>
      </c>
      <c r="E63" s="6" t="inlineStr">
        <is>
          <t>BOQ 14.01 &amp; 14.05</t>
        </is>
      </c>
      <c r="F63" s="6" t="inlineStr"/>
      <c r="G63" s="7" t="n"/>
      <c r="H63" s="8">
        <f>IF(G63="","",C63*G63)</f>
        <v/>
      </c>
    </row>
    <row r="64">
      <c r="A64" s="6" t="inlineStr">
        <is>
          <t>Sanitaryware</t>
        </is>
      </c>
      <c r="B64" s="6" t="inlineStr">
        <is>
          <t>Doc M pack – accessible WC (pan, basin, rails, lever tap)</t>
        </is>
      </c>
      <c r="C64" s="6" t="n">
        <v>1</v>
      </c>
      <c r="D64" s="6" t="inlineStr">
        <is>
          <t>no</t>
        </is>
      </c>
      <c r="E64" s="6" t="inlineStr">
        <is>
          <t>BOQ 14.10</t>
        </is>
      </c>
      <c r="F64" s="6" t="inlineStr">
        <is>
          <t>BOQ 14.11 says WALL-HUNG pan – check if frame needed</t>
        </is>
      </c>
      <c r="G64" s="7" t="n"/>
      <c r="H64" s="8">
        <f>IF(G64="","",C64*G64)</f>
        <v/>
      </c>
    </row>
    <row r="65">
      <c r="A65" s="6" t="inlineStr">
        <is>
          <t>Sanitaryware</t>
        </is>
      </c>
      <c r="B65" s="6" t="inlineStr">
        <is>
          <t>Concealed WC frame / cistern (if wall-hung)</t>
        </is>
      </c>
      <c r="C65" s="6" t="n">
        <v>1</v>
      </c>
      <c r="D65" s="6" t="inlineStr">
        <is>
          <t>no</t>
        </is>
      </c>
      <c r="E65" s="6" t="inlineStr">
        <is>
          <t>Provisional – BOQ 14.11</t>
        </is>
      </c>
      <c r="F65" s="6" t="inlineStr"/>
      <c r="G65" s="7" t="n"/>
      <c r="H65" s="8">
        <f>IF(G65="","",C65*G65)</f>
        <v/>
      </c>
    </row>
    <row r="66">
      <c r="A66" s="6" t="inlineStr">
        <is>
          <t>Sanitaryware</t>
        </is>
      </c>
      <c r="B66" s="6" t="inlineStr">
        <is>
          <t>Wall-mounted soap dispensers</t>
        </is>
      </c>
      <c r="C66" s="6" t="n">
        <v>3</v>
      </c>
      <c r="D66" s="6" t="inlineStr">
        <is>
          <t>no</t>
        </is>
      </c>
      <c r="E66" s="6" t="inlineStr">
        <is>
          <t>BOQ 14.03 / 14.07 / 14.14</t>
        </is>
      </c>
      <c r="F66" s="6" t="inlineStr">
        <is>
          <t>Confirm your package</t>
        </is>
      </c>
      <c r="G66" s="7" t="n"/>
      <c r="H66" s="8">
        <f>IF(G66="","",C66*G66)</f>
        <v/>
      </c>
    </row>
    <row r="67">
      <c r="A67" s="6" t="inlineStr">
        <is>
          <t>Sanitaryware</t>
        </is>
      </c>
      <c r="B67" s="6" t="inlineStr">
        <is>
          <t>Mirror + 250x150 colostomy shelf</t>
        </is>
      </c>
      <c r="C67" s="6" t="n">
        <v>3</v>
      </c>
      <c r="D67" s="6" t="inlineStr">
        <is>
          <t>no</t>
        </is>
      </c>
      <c r="E67" s="6" t="inlineStr">
        <is>
          <t>BOQ 14.04 / 14.08 / 14.12</t>
        </is>
      </c>
      <c r="F67" s="6" t="inlineStr">
        <is>
          <t>Confirm your package – joiner?</t>
        </is>
      </c>
      <c r="G67" s="7" t="n"/>
      <c r="H67" s="8">
        <f>IF(G67="","",C67*G67)</f>
        <v/>
      </c>
    </row>
    <row r="68">
      <c r="A68" s="6" t="inlineStr">
        <is>
          <t>Sanitaryware</t>
        </is>
      </c>
      <c r="B68" s="6" t="inlineStr">
        <is>
          <t>Silicone, pan fixings, basin fixings</t>
        </is>
      </c>
      <c r="C68" s="6" t="n">
        <v>1</v>
      </c>
      <c r="D68" s="6" t="inlineStr">
        <is>
          <t>lot</t>
        </is>
      </c>
      <c r="E68" s="6" t="inlineStr">
        <is>
          <t>Allowance</t>
        </is>
      </c>
      <c r="F68" s="6" t="inlineStr"/>
      <c r="G68" s="7" t="n"/>
      <c r="H68" s="8">
        <f>IF(G68="","",C68*G68)</f>
        <v/>
      </c>
    </row>
    <row r="69">
      <c r="A69" s="4" t="inlineStr">
        <is>
          <t>KITCHEN  (shown on drawings – scope TBC in BOQ)</t>
        </is>
      </c>
      <c r="B69" s="5" t="n"/>
      <c r="C69" s="5" t="n"/>
      <c r="D69" s="5" t="n"/>
      <c r="E69" s="5" t="n"/>
      <c r="F69" s="5" t="n"/>
      <c r="G69" s="5" t="n"/>
      <c r="H69" s="5" t="n"/>
    </row>
    <row r="70">
      <c r="A70" s="6" t="inlineStr">
        <is>
          <t>Kitchen</t>
        </is>
      </c>
      <c r="B70" s="6" t="inlineStr">
        <is>
          <t>Kitchen wash hand basin</t>
        </is>
      </c>
      <c r="C70" s="6" t="n">
        <v>1</v>
      </c>
      <c r="D70" s="6" t="inlineStr">
        <is>
          <t>no</t>
        </is>
      </c>
      <c r="E70" s="6" t="inlineStr">
        <is>
          <t>Shown on (52) &amp; (53)</t>
        </is>
      </c>
      <c r="F70" s="9" t="inlineStr">
        <is>
          <t>Not in BOQ – query</t>
        </is>
      </c>
      <c r="G70" s="7" t="n"/>
      <c r="H70" s="8">
        <f>IF(G70="","",C70*G70)</f>
        <v/>
      </c>
    </row>
    <row r="71">
      <c r="A71" s="6" t="inlineStr">
        <is>
          <t>Kitchen</t>
        </is>
      </c>
      <c r="B71" s="6" t="inlineStr">
        <is>
          <t>Stainless steel kitchen sink</t>
        </is>
      </c>
      <c r="C71" s="6" t="n">
        <v>1</v>
      </c>
      <c r="D71" s="6" t="inlineStr">
        <is>
          <t>no</t>
        </is>
      </c>
      <c r="E71" s="6" t="inlineStr">
        <is>
          <t>Shown on drawings</t>
        </is>
      </c>
      <c r="F71" s="9" t="inlineStr">
        <is>
          <t>Probably in £12,500 kitchen P.Sum – query</t>
        </is>
      </c>
      <c r="G71" s="7" t="n"/>
      <c r="H71" s="8">
        <f>IF(G71="","",C71*G71)</f>
        <v/>
      </c>
    </row>
    <row r="72">
      <c r="A72" s="6" t="inlineStr">
        <is>
          <t>Kitchen</t>
        </is>
      </c>
      <c r="B72" s="6" t="inlineStr">
        <is>
          <t>Grease trap GT01 – Big Dipper W-250-ISE (648x615x477, 230V)</t>
        </is>
      </c>
      <c r="C72" s="6" t="n">
        <v>1</v>
      </c>
      <c r="D72" s="6" t="inlineStr">
        <is>
          <t>no</t>
        </is>
      </c>
      <c r="E72" s="6" t="inlineStr">
        <is>
          <t>Dwg (52) schedule</t>
        </is>
      </c>
      <c r="F72" s="9" t="inlineStr">
        <is>
          <t>Not in BOQ – query who supplies</t>
        </is>
      </c>
      <c r="G72" s="7" t="n"/>
      <c r="H72" s="8">
        <f>IF(G72="","",C72*G72)</f>
        <v/>
      </c>
    </row>
    <row r="73">
      <c r="A73" s="6" t="inlineStr">
        <is>
          <t>Kitchen</t>
        </is>
      </c>
      <c r="B73" s="6" t="inlineStr">
        <is>
          <t>HYCO SF10K 10L water heater (WH04)</t>
        </is>
      </c>
      <c r="C73" s="6" t="n">
        <v>0</v>
      </c>
      <c r="D73" s="6" t="inlineStr">
        <is>
          <t>no</t>
        </is>
      </c>
      <c r="E73" s="6" t="inlineStr">
        <is>
          <t>Dwg (53)</t>
        </is>
      </c>
      <c r="F73" s="9" t="inlineStr">
        <is>
          <t>EXCLUDED in BOQ – qty 0</t>
        </is>
      </c>
      <c r="G73" s="7" t="n"/>
      <c r="H73" s="8">
        <f>IF(G73="","",C73*G73)</f>
        <v/>
      </c>
    </row>
    <row r="74">
      <c r="A74" s="4" t="inlineStr">
        <is>
          <t>STRIP-OUT &amp; GENERAL</t>
        </is>
      </c>
      <c r="B74" s="5" t="n"/>
      <c r="C74" s="5" t="n"/>
      <c r="D74" s="5" t="n"/>
      <c r="E74" s="5" t="n"/>
      <c r="F74" s="5" t="n"/>
      <c r="G74" s="5" t="n"/>
      <c r="H74" s="5" t="n"/>
    </row>
    <row r="75">
      <c r="A75" s="6" t="inlineStr">
        <is>
          <t>Strip-out</t>
        </is>
      </c>
      <c r="B75" s="6" t="inlineStr">
        <is>
          <t>Push-fit / solder stop-ends 15/22mm</t>
        </is>
      </c>
      <c r="C75" s="6" t="n">
        <v>8</v>
      </c>
      <c r="D75" s="6" t="inlineStr">
        <is>
          <t>no</t>
        </is>
      </c>
      <c r="E75" s="6" t="inlineStr">
        <is>
          <t>BOQ 2.12 / 2.13</t>
        </is>
      </c>
      <c r="F75" s="6" t="inlineStr"/>
      <c r="G75" s="7" t="n"/>
      <c r="H75" s="8">
        <f>IF(G75="","",C75*G75)</f>
        <v/>
      </c>
    </row>
    <row r="76">
      <c r="A76" s="6" t="inlineStr">
        <is>
          <t>Strip-out</t>
        </is>
      </c>
      <c r="B76" s="6" t="inlineStr">
        <is>
          <t>110mm soil blanking caps</t>
        </is>
      </c>
      <c r="C76" s="6" t="n">
        <v>2</v>
      </c>
      <c r="D76" s="6" t="inlineStr">
        <is>
          <t>no</t>
        </is>
      </c>
      <c r="E76" s="6" t="inlineStr">
        <is>
          <t>BOQ 2.12</t>
        </is>
      </c>
      <c r="F76" s="6" t="inlineStr"/>
      <c r="G76" s="7" t="n"/>
      <c r="H76" s="8">
        <f>IF(G76="","",C76*G76)</f>
        <v/>
      </c>
    </row>
    <row r="77">
      <c r="A77" s="6" t="inlineStr">
        <is>
          <t>Strip-out</t>
        </is>
      </c>
      <c r="B77" s="6" t="inlineStr">
        <is>
          <t>Skip / waste disposal – old sanitaryware</t>
        </is>
      </c>
      <c r="C77" s="6" t="n">
        <v>1</v>
      </c>
      <c r="D77" s="6" t="inlineStr">
        <is>
          <t>item</t>
        </is>
      </c>
      <c r="E77" s="6" t="inlineStr">
        <is>
          <t>BOQ 2.12</t>
        </is>
      </c>
      <c r="F77" s="6" t="inlineStr"/>
      <c r="G77" s="7" t="n"/>
      <c r="H77" s="8">
        <f>IF(G77="","",C77*G77)</f>
        <v/>
      </c>
    </row>
    <row r="78">
      <c r="A78" s="6" t="inlineStr">
        <is>
          <t>Consumables</t>
        </is>
      </c>
      <c r="B78" s="6" t="inlineStr">
        <is>
          <t>Solder, flux, PTFE, jointing compound, solvent cement, cleaner, fixings</t>
        </is>
      </c>
      <c r="C78" s="6" t="n">
        <v>1</v>
      </c>
      <c r="D78" s="6" t="inlineStr">
        <is>
          <t>lot</t>
        </is>
      </c>
      <c r="E78" s="6" t="inlineStr">
        <is>
          <t>Allowance</t>
        </is>
      </c>
      <c r="F78" s="6" t="inlineStr"/>
      <c r="G78" s="7" t="n"/>
      <c r="H78" s="8">
        <f>IF(G78="","",C78*G78)</f>
        <v/>
      </c>
    </row>
    <row r="80">
      <c r="G80" s="10" t="inlineStr">
        <is>
          <t>TOTAL</t>
        </is>
      </c>
      <c r="H80" s="11">
        <f>SUM(H5:H78)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2026-09-30T16:19:28Z</dcterms:created>
  <dcterms:modified xsi:type="dcterms:W3CDTF">2026-09-30T16:19:28Z</dcterms:modified>
</cp:coreProperties>
</file>
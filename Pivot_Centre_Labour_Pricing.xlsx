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ipework" sheetId="2" state="visible" r:id="rId4"/>
    <sheet name="Fittings &amp;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<sst xmlns="http://schemas.openxmlformats.org/spreadsheetml/2006/main" count="317" uniqueCount="253">
  <si>
    <t xml:space="preserve">HANNAH PLUMBING &amp; HEATING LTD - LABOUR ONLY PRICING</t>
  </si>
  <si>
    <t xml:space="preserve">NLC - Pivot Community Centre (RAAC works)  |  Client: Procast (David Inch)  |  Design: Harley Haddow job 313160</t>
  </si>
  <si>
    <t xml:space="preserve">Labour only - all materials free-issue by others. Quantities measured from drawings 313160-HAH-XX-00-D-M-05330 P01, 05630 P02, 05230 P02 (tender issue Nov 2025). Prices exclude VAT.</t>
  </si>
  <si>
    <t xml:space="preserve">Pricing inputs (yellow cells are editable):</t>
  </si>
  <si>
    <t xml:space="preserve">Labour rate per hour (£)</t>
  </si>
  <si>
    <t xml:space="preserve">Same rate as Life Church tender</t>
  </si>
  <si>
    <t xml:space="preserve">Wastage / offsets allowance on measured pipe (%)</t>
  </si>
  <si>
    <t xml:space="preserve">Covers offsets, crossovers, fittings not shown on 1:100 plans</t>
  </si>
  <si>
    <t xml:space="preserve">Contingency on total (%)</t>
  </si>
  <si>
    <t xml:space="preserve">Drawings marked 'do not scale' - measured take-off ±10%</t>
  </si>
  <si>
    <t xml:space="preserve">Hours per working day</t>
  </si>
  <si>
    <t xml:space="preserve">Used for programme days only</t>
  </si>
  <si>
    <t xml:space="preserve">Operatives on site</t>
  </si>
  <si>
    <t xml:space="preserve">Section</t>
  </si>
  <si>
    <t xml:space="preserve">Labour hrs</t>
  </si>
  <si>
    <t xml:space="preserve">Total (£)</t>
  </si>
  <si>
    <t xml:space="preserve">% of total</t>
  </si>
  <si>
    <t xml:space="preserve">Source</t>
  </si>
  <si>
    <t xml:space="preserve">A - Hot &amp; cold water pipework (copper)</t>
  </si>
  <si>
    <t xml:space="preserve">Pipework sheet</t>
  </si>
  <si>
    <t xml:space="preserve">B - LTHW heating pipework (stainless)</t>
  </si>
  <si>
    <t xml:space="preserve">C - Above-ground drainage pipework (PVCu)</t>
  </si>
  <si>
    <t xml:space="preserve">D - Preliminaries</t>
  </si>
  <si>
    <t xml:space="preserve">Fittings &amp; Items sheet</t>
  </si>
  <si>
    <t xml:space="preserve">E - Hot &amp; cold water - connections, plant &amp; commissioning</t>
  </si>
  <si>
    <t xml:space="preserve">F - Heating - emitters, valves &amp; commissioning</t>
  </si>
  <si>
    <t xml:space="preserve">G - Drainage - connections &amp; items</t>
  </si>
  <si>
    <t xml:space="preserve">H - Gas (provisional)</t>
  </si>
  <si>
    <t xml:space="preserve">Sub-total</t>
  </si>
  <si>
    <t xml:space="preserve">Contingency</t>
  </si>
  <si>
    <t xml:space="preserve">LABOUR-ONLY TENDER TOTAL (ex VAT)</t>
  </si>
  <si>
    <t xml:space="preserve">Total labour hours</t>
  </si>
  <si>
    <t xml:space="preserve">Programme (working days for gang)</t>
  </si>
  <si>
    <t xml:space="preserve">Effective £ per man-day</t>
  </si>
  <si>
    <t xml:space="preserve">Measured pipework totals (excl. wastage)</t>
  </si>
  <si>
    <t xml:space="preserve">Copper - hot, cold &amp; secondary return (m)</t>
  </si>
  <si>
    <t xml:space="preserve">Stainless - LTHW heating (m)</t>
  </si>
  <si>
    <t xml:space="preserve">PVCu drainage (m) - rough</t>
  </si>
  <si>
    <t xml:space="preserve">Key qualifications / queries to raise with Procast</t>
  </si>
  <si>
    <t xml:space="preserve">• Labour only - all pipe, fittings, valves, brackets, insulation, sanitaryware and plant free-issue by others.</t>
  </si>
  <si>
    <t xml:space="preserve">• Heating priced in stainless steel press (per Procast) - drawing notes still say mild steel; stainless OD sizes assumed 42/35/28/22/15.</t>
  </si>
  <si>
    <t xml:space="preserve">• Drops to low level assumed 2.5m - ceiling heights not on drawings. Each 0.5m change = approx. ±54m heating / ±27m water.</t>
  </si>
  <si>
    <t xml:space="preserve">• Library water feed (22mm H/C/R 'continues to serve library') - route not drawn; excluded, approx. 20m per service if required.</t>
  </si>
  <si>
    <t xml:space="preserve">• CWST size discrepancy: drawing 3248x3248x2916 vs schedule 2248x2248x2566 (both 8,000L). Tank erection by supplier assumed.</t>
  </si>
  <si>
    <t xml:space="preserve">• Thermal insulation, fire-stopping, builder's work, boxing-in and access hatches by others unless instructed.</t>
  </si>
  <si>
    <t xml:space="preserve">• Electrical supplies &amp; interlocks (booster set, fan convectors, gas safety system, panel heaters PH01) by electrician.</t>
  </si>
  <si>
    <t xml:space="preserve">• Ventilation (MVHR units, fans, ductwork, cowls) excluded.</t>
  </si>
  <si>
    <t xml:space="preserve">• Gas pipe length is PROVISIONAL (30m) - drawing 05430 not measured.</t>
  </si>
  <si>
    <t xml:space="preserve">• Take-off measured from tender drawings marked 'do not scale' - accuracy approx. ±10%; re-measure from construction issue.</t>
  </si>
  <si>
    <t xml:space="preserve">PIPEWORK - measured take-off and labour build-up</t>
  </si>
  <si>
    <t xml:space="preserve">Blue = measured from drawings (edit only if you re-measure). Yellow = labour hours per metre - ESTIMATED norms for install in ceiling void incl. brackets, fittings &amp; valves on the run; adjust to suit your gang.</t>
  </si>
  <si>
    <t xml:space="preserve">Ref</t>
  </si>
  <si>
    <t xml:space="preserve">Service / description</t>
  </si>
  <si>
    <t xml:space="preserve">Size</t>
  </si>
  <si>
    <t xml:space="preserve">Measured (m)</t>
  </si>
  <si>
    <t xml:space="preserve">Inc. wastage (m)</t>
  </si>
  <si>
    <t xml:space="preserve">Hrs / m</t>
  </si>
  <si>
    <t xml:space="preserve">Rate £ / m</t>
  </si>
  <si>
    <t xml:space="preserve">Notes</t>
  </si>
  <si>
    <t xml:space="preserve">A</t>
  </si>
  <si>
    <t xml:space="preserve">HOT &amp; COLD WATER - COPPER (dwg 05330)</t>
  </si>
  <si>
    <t xml:space="preserve">A1</t>
  </si>
  <si>
    <t xml:space="preserve">Boosted / tank cold water (BCWS)</t>
  </si>
  <si>
    <t xml:space="preserve">35mm</t>
  </si>
  <si>
    <t xml:space="preserve">Plant room main + first section of south main</t>
  </si>
  <si>
    <t xml:space="preserve">A2</t>
  </si>
  <si>
    <t xml:space="preserve">28mm</t>
  </si>
  <si>
    <t xml:space="preserve">East main, east corridor riser, south main lower; incl. 7.5m allowance where drawing is broken at accessible WC</t>
  </si>
  <si>
    <t xml:space="preserve">A3</t>
  </si>
  <si>
    <t xml:space="preserve">22mm</t>
  </si>
  <si>
    <t xml:space="preserve">Branches + 9 No. 22mm drops @ 2.5m</t>
  </si>
  <si>
    <t xml:space="preserve">A4</t>
  </si>
  <si>
    <t xml:space="preserve">15mm</t>
  </si>
  <si>
    <t xml:space="preserve">Tails to fittings + 9 No. 15mm drops @ 2.5m</t>
  </si>
  <si>
    <t xml:space="preserve">A5</t>
  </si>
  <si>
    <t xml:space="preserve">Mains cold water (MCWS) - incoming to tank</t>
  </si>
  <si>
    <t xml:space="preserve">Incoming main rises at SW corner, runs at high level to CWST</t>
  </si>
  <si>
    <t xml:space="preserve">A6</t>
  </si>
  <si>
    <t xml:space="preserve">Hot water flow (HWSF)</t>
  </si>
  <si>
    <t xml:space="preserve">Plant room exit (88 l/s section)</t>
  </si>
  <si>
    <t xml:space="preserve">A7</t>
  </si>
  <si>
    <t xml:space="preserve">Mains; incl. 7.5m allowance at accessible WC break</t>
  </si>
  <si>
    <t xml:space="preserve">A8</t>
  </si>
  <si>
    <t xml:space="preserve">Branches + 7 No. 22mm drops @ 2.5m</t>
  </si>
  <si>
    <t xml:space="preserve">A9</t>
  </si>
  <si>
    <t xml:space="preserve">Tails + 11 No. 15mm drops @ 2.5m</t>
  </si>
  <si>
    <t xml:space="preserve">A10</t>
  </si>
  <si>
    <t xml:space="preserve">Secondary return (HWSR)</t>
  </si>
  <si>
    <t xml:space="preserve">Plant room section</t>
  </si>
  <si>
    <t xml:space="preserve">A11</t>
  </si>
  <si>
    <t xml:space="preserve">Return throughout + 18 No. drops @ 2.5m + 7.5m break allowance</t>
  </si>
  <si>
    <t xml:space="preserve">Sub-total A</t>
  </si>
  <si>
    <t xml:space="preserve">B</t>
  </si>
  <si>
    <t xml:space="preserve">LTHW HEATING - STAINLESS STEEL PRESS (dwg 05630)</t>
  </si>
  <si>
    <t xml:space="preserve">B1</t>
  </si>
  <si>
    <t xml:space="preserve">LTHW flow &amp; return (VT circuit from plant)</t>
  </si>
  <si>
    <t xml:space="preserve">42mm (40NB)</t>
  </si>
  <si>
    <t xml:space="preserve">Drawing sizes are steel NB - stainless OD equivalent shown; confirm with Procast</t>
  </si>
  <si>
    <t xml:space="preserve">B2</t>
  </si>
  <si>
    <t xml:space="preserve">LTHW flow &amp; return</t>
  </si>
  <si>
    <t xml:space="preserve">35mm (32NB)</t>
  </si>
  <si>
    <t xml:space="preserve">VT to library, kitchen branch, south main</t>
  </si>
  <si>
    <t xml:space="preserve">B3</t>
  </si>
  <si>
    <t xml:space="preserve">LTHW flow &amp; return (CT circuit)</t>
  </si>
  <si>
    <t xml:space="preserve">28mm (25NB)</t>
  </si>
  <si>
    <t xml:space="preserve">CT to library + south main section</t>
  </si>
  <si>
    <t xml:space="preserve">B4</t>
  </si>
  <si>
    <t xml:space="preserve">22mm (20NB)</t>
  </si>
  <si>
    <t xml:space="preserve">Sub-mains / branches</t>
  </si>
  <si>
    <t xml:space="preserve">B5</t>
  </si>
  <si>
    <t xml:space="preserve">LTHW flow &amp; return - branches &amp; low-level runs</t>
  </si>
  <si>
    <t xml:space="preserve">Branches to radiators / fan convectors</t>
  </si>
  <si>
    <t xml:space="preserve">B6</t>
  </si>
  <si>
    <t xml:space="preserve">LTHW drops to emitters (F&amp;R)</t>
  </si>
  <si>
    <t xml:space="preserve">54 emitters x 2 pipes x 2.5m assumed drop - ceiling height not on drawings</t>
  </si>
  <si>
    <t xml:space="preserve">Sub-total B</t>
  </si>
  <si>
    <t xml:space="preserve">C</t>
  </si>
  <si>
    <t xml:space="preserve">ABOVE GROUND DRAINAGE - PVCu (dwg 05230) - ROUGH</t>
  </si>
  <si>
    <t xml:space="preserve">C1</t>
  </si>
  <si>
    <t xml:space="preserve">Soil branches (horizontal)</t>
  </si>
  <si>
    <t xml:space="preserve">110mm</t>
  </si>
  <si>
    <t xml:space="preserve">Approx. split of ~61m measured horizontal drainage</t>
  </si>
  <si>
    <t xml:space="preserve">C2</t>
  </si>
  <si>
    <t xml:space="preserve">Waste branches</t>
  </si>
  <si>
    <t xml:space="preserve">40mm</t>
  </si>
  <si>
    <t xml:space="preserve">Approx. split</t>
  </si>
  <si>
    <t xml:space="preserve">C3</t>
  </si>
  <si>
    <t xml:space="preserve">32mm</t>
  </si>
  <si>
    <t xml:space="preserve">C4</t>
  </si>
  <si>
    <t xml:space="preserve">Pre-insulated SVPs (11 No. through roof)</t>
  </si>
  <si>
    <t xml:space="preserve">11 stacks x ~5m assumed (ground to above roof)</t>
  </si>
  <si>
    <t xml:space="preserve">C5</t>
  </si>
  <si>
    <t xml:space="preserve">Stub stacks (8 No.)</t>
  </si>
  <si>
    <t xml:space="preserve">50/75mm</t>
  </si>
  <si>
    <t xml:space="preserve">8 stub stacks x ~1.2m</t>
  </si>
  <si>
    <t xml:space="preserve">Sub-total C</t>
  </si>
  <si>
    <t xml:space="preserve">FITTINGS, PLANT, CONNECTIONS &amp; COMMISSIONING - labour build-up</t>
  </si>
  <si>
    <t xml:space="preserve">Blue quantities are counted from the drawings / schedules. Yellow hours per item are ESTIMATES - adjust to suit. Set qty to 0 to omit an item.</t>
  </si>
  <si>
    <t xml:space="preserve">Description</t>
  </si>
  <si>
    <t xml:space="preserve">Unit</t>
  </si>
  <si>
    <t xml:space="preserve">Qty</t>
  </si>
  <si>
    <t xml:space="preserve">Hrs each</t>
  </si>
  <si>
    <t xml:space="preserve">Notes / qualifications</t>
  </si>
  <si>
    <t xml:space="preserve">D</t>
  </si>
  <si>
    <t xml:space="preserve">PRELIMINARIES</t>
  </si>
  <si>
    <t xml:space="preserve">D1</t>
  </si>
  <si>
    <t xml:space="preserve">RAMS, inductions, site set-up, setting out &amp; co-ordination drawings</t>
  </si>
  <si>
    <t xml:space="preserve">item</t>
  </si>
  <si>
    <t xml:space="preserve">Contractor to produce co-ordinated installation drawings (dwg note)</t>
  </si>
  <si>
    <t xml:space="preserve">D2</t>
  </si>
  <si>
    <t xml:space="preserve">Pre-start survey of existing M&amp;E services (required by dwg notes)</t>
  </si>
  <si>
    <t xml:space="preserve">Sub-total D</t>
  </si>
  <si>
    <t xml:space="preserve">E</t>
  </si>
  <si>
    <t xml:space="preserve">HOT &amp; COLD WATER - CONNECTIONS &amp; PLANT</t>
  </si>
  <si>
    <t xml:space="preserve">E1</t>
  </si>
  <si>
    <t xml:space="preserve">Connect WC (cold feed, isolation valve)</t>
  </si>
  <si>
    <t xml:space="preserve">no</t>
  </si>
  <si>
    <t xml:space="preserve">Count from drainage notes; sanitaryware fixing NOT included - confirm whose scope</t>
  </si>
  <si>
    <t xml:space="preserve">E2</t>
  </si>
  <si>
    <t xml:space="preserve">Connect WHB incl. TMV3 (Oventrop Brawa-mix), isolation, strainers</t>
  </si>
  <si>
    <t xml:space="preserve">TMV to every WHB &amp; sink per dwg note 16</t>
  </si>
  <si>
    <t xml:space="preserve">E3</t>
  </si>
  <si>
    <t xml:space="preserve">Connect sink incl. TMV3, isolation</t>
  </si>
  <si>
    <t xml:space="preserve">E4</t>
  </si>
  <si>
    <t xml:space="preserve">Connect shower (H&amp;C, isolation)</t>
  </si>
  <si>
    <t xml:space="preserve">Shower valves assumed thermostatic; check spec</t>
  </si>
  <si>
    <t xml:space="preserve">E5</t>
  </si>
  <si>
    <t xml:space="preserve">Hot water return commissioning valves (Oventrop Aquastrom T Plus)</t>
  </si>
  <si>
    <t xml:space="preserve">One per drop assumed</t>
  </si>
  <si>
    <t xml:space="preserve">E6</t>
  </si>
  <si>
    <t xml:space="preserve">Install &amp; connect booster set BP01 (Grundfos Hydro Multi-E) on AV mounts, flexible connections</t>
  </si>
  <si>
    <t xml:space="preserve">Electrical supply by others</t>
  </si>
  <si>
    <t xml:space="preserve">E7</t>
  </si>
  <si>
    <t xml:space="preserve">Connect 8,000L CWST - float valve, outlets, screened overflow / warning / drain-down</t>
  </si>
  <si>
    <t xml:space="preserve">Tank erection by tank supplier assumed - CHECK. Tank size discrepancy dwg 3248 vs schedule 2248</t>
  </si>
  <si>
    <t xml:space="preserve">E8</t>
  </si>
  <si>
    <t xml:space="preserve">Plant room pipework not shown on plan (35 suction, 54 overflow/drain, 28 warning)</t>
  </si>
  <si>
    <t xml:space="preserve">m</t>
  </si>
  <si>
    <t xml:space="preserve">Allowance only - schematic on drawing</t>
  </si>
  <si>
    <t xml:space="preserve">E9</t>
  </si>
  <si>
    <t xml:space="preserve">Tie-in to existing water services / incoming main</t>
  </si>
  <si>
    <t xml:space="preserve">E10</t>
  </si>
  <si>
    <t xml:space="preserve">Pipework labelling to BS 1710</t>
  </si>
  <si>
    <t xml:space="preserve">E11</t>
  </si>
  <si>
    <t xml:space="preserve">Pressure test, flush, chlorinate &amp; certify (BS EN 806 / L8)</t>
  </si>
  <si>
    <t xml:space="preserve">Lab sample fee by others (labour only)</t>
  </si>
  <si>
    <t xml:space="preserve">Sub-total E</t>
  </si>
  <si>
    <t xml:space="preserve">F</t>
  </si>
  <si>
    <t xml:space="preserve">HEATING - EMITTERS, VALVES, COMMISSIONING</t>
  </si>
  <si>
    <t xml:space="preserve">F1</t>
  </si>
  <si>
    <t xml:space="preserve">Hang &amp; connect LST radiator incl. TRV, LSV, cover (R01-R20)</t>
  </si>
  <si>
    <t xml:space="preserve">Merriot Protecta - qty from equipment schedule</t>
  </si>
  <si>
    <t xml:space="preserve">F2</t>
  </si>
  <si>
    <t xml:space="preserve">Hang &amp; connect fan convector (FC01 x5, FC02 x1) incl. remote-sensor TRV</t>
  </si>
  <si>
    <t xml:space="preserve">Electrical connection by others</t>
  </si>
  <si>
    <t xml:space="preserve">F3</t>
  </si>
  <si>
    <t xml:space="preserve">Commissioning sets CS01-CS10</t>
  </si>
  <si>
    <t xml:space="preserve">F4</t>
  </si>
  <si>
    <t xml:space="preserve">Branch isolation valves (pairs) - on drops/branches</t>
  </si>
  <si>
    <t xml:space="preserve">pair</t>
  </si>
  <si>
    <t xml:space="preserve">Approx. count from dwg 05630 - verify</t>
  </si>
  <si>
    <t xml:space="preserve">F5</t>
  </si>
  <si>
    <t xml:space="preserve">AAVs at high points / drain cocks at low points</t>
  </si>
  <si>
    <t xml:space="preserve">Allowance</t>
  </si>
  <si>
    <t xml:space="preserve">F6</t>
  </si>
  <si>
    <t xml:space="preserve">Tie-in to existing LTHW in plant room (CT &amp; VT circuits)</t>
  </si>
  <si>
    <t xml:space="preserve">Drain-down / refill of existing system included</t>
  </si>
  <si>
    <t xml:space="preserve">F7</t>
  </si>
  <si>
    <t xml:space="preserve">Tie-in to existing pipework in library (CT &amp; VT)</t>
  </si>
  <si>
    <t xml:space="preserve">F8</t>
  </si>
  <si>
    <t xml:space="preserve">Tie-in fan convector circuit to existing in plant room</t>
  </si>
  <si>
    <t xml:space="preserve">F9</t>
  </si>
  <si>
    <t xml:space="preserve">Pressure test, flush, fill, vent, balance &amp; commission</t>
  </si>
  <si>
    <t xml:space="preserve">Water treatment chemicals by others</t>
  </si>
  <si>
    <t xml:space="preserve">Sub-total F</t>
  </si>
  <si>
    <t xml:space="preserve">G</t>
  </si>
  <si>
    <t xml:space="preserve">DRAINAGE - ITEMS</t>
  </si>
  <si>
    <t xml:space="preserve">G1</t>
  </si>
  <si>
    <t xml:space="preserve">SVP roof termination - weather collar &amp; bird cage, access door</t>
  </si>
  <si>
    <t xml:space="preserve">Weathering by roofer (dwg note 10)</t>
  </si>
  <si>
    <t xml:space="preserve">G2</t>
  </si>
  <si>
    <t xml:space="preserve">Stub stack AAV &amp; access, connect to below-ground</t>
  </si>
  <si>
    <t xml:space="preserve">G3</t>
  </si>
  <si>
    <t xml:space="preserve">110mm pop-up connection to below-ground</t>
  </si>
  <si>
    <t xml:space="preserve">G4</t>
  </si>
  <si>
    <t xml:space="preserve">WC pan connection</t>
  </si>
  <si>
    <t xml:space="preserve">G5</t>
  </si>
  <si>
    <t xml:space="preserve">Basin / sink trap &amp; waste connection</t>
  </si>
  <si>
    <t xml:space="preserve">24 WHB + 7 sinks</t>
  </si>
  <si>
    <t xml:space="preserve">G6</t>
  </si>
  <si>
    <t xml:space="preserve">Shower gully - install &amp; connect to existing BG pop-up</t>
  </si>
  <si>
    <t xml:space="preserve">G7</t>
  </si>
  <si>
    <t xml:space="preserve">Grease separator on kitchen drainage line (install &amp; connect)</t>
  </si>
  <si>
    <t xml:space="preserve">Unit supply &amp; sizing by others</t>
  </si>
  <si>
    <t xml:space="preserve">G8</t>
  </si>
  <si>
    <t xml:space="preserve">Condensate tundishes / waterless traps to SVP</t>
  </si>
  <si>
    <t xml:space="preserve">G9</t>
  </si>
  <si>
    <t xml:space="preserve">Intumescent collars / fire sleeves</t>
  </si>
  <si>
    <t xml:space="preserve">Allowance - fire-stopping by others?</t>
  </si>
  <si>
    <t xml:space="preserve">G10</t>
  </si>
  <si>
    <t xml:space="preserve">Test above-ground drainage</t>
  </si>
  <si>
    <t xml:space="preserve">Sub-total G</t>
  </si>
  <si>
    <t xml:space="preserve">H</t>
  </si>
  <si>
    <t xml:space="preserve">GAS (dwg 05430 - not measured)</t>
  </si>
  <si>
    <t xml:space="preserve">H1</t>
  </si>
  <si>
    <t xml:space="preserve">Gas pipework meter to kitchen - black steel, screwed (PROVISIONAL)</t>
  </si>
  <si>
    <t xml:space="preserve">Length NOT measured - drawing 05430 not uploaded. Re-measure.</t>
  </si>
  <si>
    <t xml:space="preserve">H2</t>
  </si>
  <si>
    <t xml:space="preserve">Kitchen gas safety system - solenoid, panel, detector, e-stop (mechanical install)</t>
  </si>
  <si>
    <t xml:space="preserve">Wiring &amp; interlock to fans / fire alarm by electrician</t>
  </si>
  <si>
    <t xml:space="preserve">H3</t>
  </si>
  <si>
    <t xml:space="preserve">Strength / tightness test, purge, commission &amp; certify (IGEM UP-1/UP-4), iso drawings</t>
  </si>
  <si>
    <t xml:space="preserve">Sub-total 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</si>
</sst>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.00;&quot;(£&quot;#,##0.00\);\-"/>
    <numFmt numFmtId="166" formatCode="0%"/>
    <numFmt numFmtId="167" formatCode="0"/>
    <numFmt numFmtId="168" formatCode="#,##0.0;\(#,##0.0\);\-"/>
    <numFmt numFmtId="169" formatCode="\£#,##0;&quot;(£&quot;#,##0\);\-"/>
    <numFmt numFmtId="170" formatCode="0.0%"/>
    <numFmt numFmtId="171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50</v>
      </c>
      <c r="E6" s="7" t="s">
        <v>5</v>
      </c>
    </row>
    <row r="7" customFormat="false" ht="15" hidden="false" customHeight="false" outlineLevel="0" collapsed="false">
      <c r="A7" s="5" t="s">
        <v>6</v>
      </c>
      <c r="B7" s="8" t="n">
        <v>0.1</v>
      </c>
      <c r="E7" s="7" t="s">
        <v>7</v>
      </c>
    </row>
    <row r="8" customFormat="false" ht="15" hidden="false" customHeight="false" outlineLevel="0" collapsed="false">
      <c r="A8" s="5" t="s">
        <v>8</v>
      </c>
      <c r="B8" s="8" t="n">
        <v>0.05</v>
      </c>
      <c r="E8" s="7" t="s">
        <v>9</v>
      </c>
    </row>
    <row r="9" customFormat="false" ht="15" hidden="false" customHeight="false" outlineLevel="0" collapsed="false">
      <c r="A9" s="5" t="s">
        <v>10</v>
      </c>
      <c r="B9" s="9" t="n">
        <v>8</v>
      </c>
      <c r="E9" s="7" t="s">
        <v>11</v>
      </c>
    </row>
    <row r="10" customFormat="false" ht="15" hidden="false" customHeight="false" outlineLevel="0" collapsed="false">
      <c r="A10" s="5" t="s">
        <v>12</v>
      </c>
      <c r="B10" s="9" t="n">
        <v>2</v>
      </c>
      <c r="E10" s="7" t="s">
        <v>11</v>
      </c>
    </row>
    <row r="12" customFormat="false" ht="15" hidden="false" customHeight="false" outlineLevel="0" collapsed="false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</row>
    <row r="13" customFormat="false" ht="15" hidden="false" customHeight="false" outlineLevel="0" collapsed="false">
      <c r="A13" s="11" t="s">
        <v>18</v>
      </c>
      <c r="B13" s="12" t="n">
        <f aca="false">Pipework!G17</f>
        <v>275.2882</v>
      </c>
      <c r="C13" s="13" t="n">
        <f aca="false">Pipework!I17</f>
        <v>13764.41</v>
      </c>
      <c r="D13" s="14" t="n">
        <f aca="false">IF($C$21=0,0,C13/$C$21)</f>
        <v>0.227220761323701</v>
      </c>
      <c r="E13" s="15" t="s">
        <v>19</v>
      </c>
    </row>
    <row r="14" customFormat="false" ht="15" hidden="false" customHeight="false" outlineLevel="0" collapsed="false">
      <c r="A14" s="11" t="s">
        <v>20</v>
      </c>
      <c r="B14" s="12" t="n">
        <f aca="false">Pipework!G26</f>
        <v>355.0239</v>
      </c>
      <c r="C14" s="13" t="n">
        <f aca="false">Pipework!I26</f>
        <v>17751.195</v>
      </c>
      <c r="D14" s="14" t="n">
        <f aca="false">IF($C$21=0,0,C14/$C$21)</f>
        <v>0.293033994359764</v>
      </c>
      <c r="E14" s="15" t="s">
        <v>19</v>
      </c>
    </row>
    <row r="15" customFormat="false" ht="15" hidden="false" customHeight="false" outlineLevel="0" collapsed="false">
      <c r="A15" s="11" t="s">
        <v>21</v>
      </c>
      <c r="B15" s="12" t="n">
        <f aca="false">Pipework!G34</f>
        <v>46.233</v>
      </c>
      <c r="C15" s="13" t="n">
        <f aca="false">Pipework!I34</f>
        <v>2311.65</v>
      </c>
      <c r="D15" s="14" t="n">
        <f aca="false">IF($C$21=0,0,C15/$C$21)</f>
        <v>0.0381603623340146</v>
      </c>
      <c r="E15" s="15" t="s">
        <v>19</v>
      </c>
    </row>
    <row r="16" customFormat="false" ht="15" hidden="false" customHeight="false" outlineLevel="0" collapsed="false">
      <c r="A16" s="11" t="s">
        <v>22</v>
      </c>
      <c r="B16" s="12" t="n">
        <f aca="false">'Fittings &amp; Items'!F8</f>
        <v>24</v>
      </c>
      <c r="C16" s="13" t="n">
        <f aca="false">'Fittings &amp; Items'!G8</f>
        <v>1200</v>
      </c>
      <c r="D16" s="14" t="n">
        <f aca="false">IF($C$21=0,0,C16/$C$21)</f>
        <v>0.0198094152665056</v>
      </c>
      <c r="E16" s="15" t="s">
        <v>23</v>
      </c>
    </row>
    <row r="17" customFormat="false" ht="15" hidden="false" customHeight="false" outlineLevel="0" collapsed="false">
      <c r="A17" s="11" t="s">
        <v>24</v>
      </c>
      <c r="B17" s="12" t="n">
        <f aca="false">'Fittings &amp; Items'!F22</f>
        <v>165</v>
      </c>
      <c r="C17" s="13" t="n">
        <f aca="false">'Fittings &amp; Items'!G22</f>
        <v>8250</v>
      </c>
      <c r="D17" s="14" t="n">
        <f aca="false">IF($C$21=0,0,C17/$C$21)</f>
        <v>0.136189729957226</v>
      </c>
      <c r="E17" s="15" t="s">
        <v>23</v>
      </c>
    </row>
    <row r="18" customFormat="false" ht="15" hidden="false" customHeight="false" outlineLevel="0" collapsed="false">
      <c r="A18" s="11" t="s">
        <v>25</v>
      </c>
      <c r="B18" s="12" t="n">
        <f aca="false">'Fittings &amp; Items'!F34</f>
        <v>224</v>
      </c>
      <c r="C18" s="13" t="n">
        <f aca="false">'Fittings &amp; Items'!G34</f>
        <v>11200</v>
      </c>
      <c r="D18" s="14" t="n">
        <f aca="false">IF($C$21=0,0,C18/$C$21)</f>
        <v>0.184887875820719</v>
      </c>
      <c r="E18" s="15" t="s">
        <v>23</v>
      </c>
    </row>
    <row r="19" customFormat="false" ht="15" hidden="false" customHeight="false" outlineLevel="0" collapsed="false">
      <c r="A19" s="11" t="s">
        <v>26</v>
      </c>
      <c r="B19" s="12" t="n">
        <f aca="false">'Fittings &amp; Items'!F47</f>
        <v>90</v>
      </c>
      <c r="C19" s="13" t="n">
        <f aca="false">'Fittings &amp; Items'!G47</f>
        <v>4500</v>
      </c>
      <c r="D19" s="14" t="n">
        <f aca="false">IF($C$21=0,0,C19/$C$21)</f>
        <v>0.0742853072493958</v>
      </c>
      <c r="E19" s="15" t="s">
        <v>23</v>
      </c>
    </row>
    <row r="20" customFormat="false" ht="15" hidden="false" customHeight="false" outlineLevel="0" collapsed="false">
      <c r="A20" s="11" t="s">
        <v>27</v>
      </c>
      <c r="B20" s="12" t="n">
        <f aca="false">'Fittings &amp; Items'!F53</f>
        <v>32</v>
      </c>
      <c r="C20" s="13" t="n">
        <f aca="false">'Fittings &amp; Items'!G53</f>
        <v>1600</v>
      </c>
      <c r="D20" s="14" t="n">
        <f aca="false">IF($C$21=0,0,C20/$C$21)</f>
        <v>0.0264125536886741</v>
      </c>
      <c r="E20" s="15" t="s">
        <v>23</v>
      </c>
    </row>
    <row r="21" customFormat="false" ht="15" hidden="false" customHeight="false" outlineLevel="0" collapsed="false">
      <c r="A21" s="16" t="s">
        <v>28</v>
      </c>
      <c r="B21" s="17" t="n">
        <f aca="false">SUM(B13:B20)</f>
        <v>1211.5451</v>
      </c>
      <c r="C21" s="18" t="n">
        <f aca="false">SUM(C13:C20)</f>
        <v>60577.255</v>
      </c>
      <c r="D21" s="16"/>
      <c r="E21" s="16"/>
    </row>
    <row r="22" customFormat="false" ht="15" hidden="false" customHeight="false" outlineLevel="0" collapsed="false">
      <c r="A22" s="5" t="s">
        <v>29</v>
      </c>
      <c r="C22" s="19" t="n">
        <f aca="false">C21*Summary!$B$8</f>
        <v>3028.86275</v>
      </c>
    </row>
    <row r="23" customFormat="false" ht="15" hidden="false" customHeight="false" outlineLevel="0" collapsed="false">
      <c r="A23" s="20" t="s">
        <v>30</v>
      </c>
      <c r="B23" s="21"/>
      <c r="C23" s="22" t="n">
        <f aca="false">C21+C22</f>
        <v>63606.11775</v>
      </c>
      <c r="D23" s="21"/>
      <c r="E23" s="21"/>
    </row>
    <row r="25" customFormat="false" ht="15" hidden="false" customHeight="false" outlineLevel="0" collapsed="false">
      <c r="A25" s="5" t="s">
        <v>31</v>
      </c>
      <c r="B25" s="23" t="n">
        <f aca="false">B21</f>
        <v>1211.5451</v>
      </c>
    </row>
    <row r="26" customFormat="false" ht="15" hidden="false" customHeight="false" outlineLevel="0" collapsed="false">
      <c r="A26" s="5" t="s">
        <v>32</v>
      </c>
      <c r="B26" s="24" t="n">
        <f aca="false">IF(B9*B10=0,0,B21/(B9*B10))</f>
        <v>75.72156875</v>
      </c>
    </row>
    <row r="27" customFormat="false" ht="15" hidden="false" customHeight="false" outlineLevel="0" collapsed="false">
      <c r="A27" s="5" t="s">
        <v>33</v>
      </c>
      <c r="B27" s="19" t="n">
        <f aca="false">B6*B9</f>
        <v>400</v>
      </c>
    </row>
    <row r="29" customFormat="false" ht="15" hidden="false" customHeight="false" outlineLevel="0" collapsed="false">
      <c r="A29" s="4" t="s">
        <v>34</v>
      </c>
    </row>
    <row r="30" customFormat="false" ht="15" hidden="false" customHeight="false" outlineLevel="0" collapsed="false">
      <c r="A30" s="5" t="s">
        <v>35</v>
      </c>
      <c r="B30" s="25" t="n">
        <f aca="false">Pipework!D17</f>
        <v>816.3</v>
      </c>
    </row>
    <row r="31" customFormat="false" ht="15" hidden="false" customHeight="false" outlineLevel="0" collapsed="false">
      <c r="A31" s="5" t="s">
        <v>36</v>
      </c>
      <c r="B31" s="25" t="n">
        <f aca="false">Pipework!D26</f>
        <v>1151.7</v>
      </c>
    </row>
    <row r="32" customFormat="false" ht="15" hidden="false" customHeight="false" outlineLevel="0" collapsed="false">
      <c r="A32" s="5" t="s">
        <v>37</v>
      </c>
      <c r="B32" s="25" t="n">
        <f aca="false">Pipework!D34</f>
        <v>126</v>
      </c>
    </row>
    <row r="34" customFormat="false" ht="15" hidden="false" customHeight="false" outlineLevel="0" collapsed="false">
      <c r="A34" s="4" t="s">
        <v>38</v>
      </c>
    </row>
    <row r="35" customFormat="false" ht="24" hidden="false" customHeight="true" outlineLevel="0" collapsed="false">
      <c r="A35" s="3" t="s">
        <v>39</v>
      </c>
      <c r="B35" s="3"/>
      <c r="C35" s="3"/>
      <c r="D35" s="3"/>
      <c r="E35" s="3"/>
    </row>
    <row r="36" customFormat="false" ht="24" hidden="false" customHeight="true" outlineLevel="0" collapsed="false">
      <c r="A36" s="3" t="s">
        <v>40</v>
      </c>
      <c r="B36" s="3"/>
      <c r="C36" s="3"/>
      <c r="D36" s="3"/>
      <c r="E36" s="3"/>
    </row>
    <row r="37" customFormat="false" ht="24" hidden="false" customHeight="true" outlineLevel="0" collapsed="false">
      <c r="A37" s="3" t="s">
        <v>41</v>
      </c>
      <c r="B37" s="3"/>
      <c r="C37" s="3"/>
      <c r="D37" s="3"/>
      <c r="E37" s="3"/>
    </row>
    <row r="38" customFormat="false" ht="24" hidden="false" customHeight="true" outlineLevel="0" collapsed="false">
      <c r="A38" s="3" t="s">
        <v>42</v>
      </c>
      <c r="B38" s="3"/>
      <c r="C38" s="3"/>
      <c r="D38" s="3"/>
      <c r="E38" s="3"/>
    </row>
    <row r="39" customFormat="false" ht="24" hidden="false" customHeight="true" outlineLevel="0" collapsed="false">
      <c r="A39" s="3" t="s">
        <v>43</v>
      </c>
      <c r="B39" s="3"/>
      <c r="C39" s="3"/>
      <c r="D39" s="3"/>
      <c r="E39" s="3"/>
    </row>
    <row r="40" customFormat="false" ht="24" hidden="false" customHeight="true" outlineLevel="0" collapsed="false">
      <c r="A40" s="3" t="s">
        <v>44</v>
      </c>
      <c r="B40" s="3"/>
      <c r="C40" s="3"/>
      <c r="D40" s="3"/>
      <c r="E40" s="3"/>
    </row>
    <row r="41" customFormat="false" ht="24" hidden="false" customHeight="true" outlineLevel="0" collapsed="false">
      <c r="A41" s="3" t="s">
        <v>45</v>
      </c>
      <c r="B41" s="3"/>
      <c r="C41" s="3"/>
      <c r="D41" s="3"/>
      <c r="E41" s="3"/>
    </row>
    <row r="42" customFormat="false" ht="24" hidden="false" customHeight="true" outlineLevel="0" collapsed="false">
      <c r="A42" s="3" t="s">
        <v>46</v>
      </c>
      <c r="B42" s="3"/>
      <c r="C42" s="3"/>
      <c r="D42" s="3"/>
      <c r="E42" s="3"/>
    </row>
    <row r="43" customFormat="false" ht="24" hidden="false" customHeight="true" outlineLevel="0" collapsed="false">
      <c r="A43" s="3" t="s">
        <v>47</v>
      </c>
      <c r="B43" s="3"/>
      <c r="C43" s="3"/>
      <c r="D43" s="3"/>
      <c r="E43" s="3"/>
    </row>
    <row r="44" customFormat="false" ht="24" hidden="false" customHeight="true" outlineLevel="0" collapsed="false">
      <c r="A44" s="3" t="s">
        <v>48</v>
      </c>
      <c r="B44" s="3"/>
      <c r="C44" s="3"/>
      <c r="D44" s="3"/>
      <c r="E44" s="3"/>
    </row>
  </sheetData>
  <mergeCells count="11">
    <mergeCell ref="A3:E3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16.15" hidden="false" customHeight="false" outlineLevel="0" collapsed="false">
      <c r="A1" s="26" t="s">
        <v>49</v>
      </c>
    </row>
    <row r="2" customFormat="false" ht="27.75" hidden="false" customHeight="true" outlineLevel="0" collapsed="false">
      <c r="A2" s="3" t="s">
        <v>50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8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14</v>
      </c>
      <c r="H4" s="10" t="s">
        <v>57</v>
      </c>
      <c r="I4" s="10" t="s">
        <v>15</v>
      </c>
      <c r="J4" s="10" t="s">
        <v>58</v>
      </c>
    </row>
    <row r="5" customFormat="false" ht="15" hidden="false" customHeight="false" outlineLevel="0" collapsed="false">
      <c r="A5" s="27" t="s">
        <v>59</v>
      </c>
      <c r="B5" s="27" t="s">
        <v>60</v>
      </c>
      <c r="C5" s="28"/>
      <c r="D5" s="28"/>
      <c r="E5" s="28"/>
      <c r="F5" s="28"/>
      <c r="G5" s="28"/>
      <c r="H5" s="28"/>
      <c r="I5" s="28"/>
      <c r="J5" s="28"/>
    </row>
    <row r="6" customFormat="false" ht="15" hidden="false" customHeight="false" outlineLevel="0" collapsed="false">
      <c r="A6" s="11" t="s">
        <v>61</v>
      </c>
      <c r="B6" s="11" t="s">
        <v>62</v>
      </c>
      <c r="C6" s="11" t="s">
        <v>63</v>
      </c>
      <c r="D6" s="29" t="n">
        <v>27.4</v>
      </c>
      <c r="E6" s="30" t="n">
        <f aca="false">D6*(1+Summary!$B$7)</f>
        <v>30.14</v>
      </c>
      <c r="F6" s="31" t="n">
        <v>0.48</v>
      </c>
      <c r="G6" s="30" t="n">
        <f aca="false">E6*F6</f>
        <v>14.4672</v>
      </c>
      <c r="H6" s="32" t="n">
        <f aca="false">F6*Summary!$B$6</f>
        <v>24</v>
      </c>
      <c r="I6" s="32" t="n">
        <f aca="false">G6*Summary!$B$6</f>
        <v>723.36</v>
      </c>
      <c r="J6" s="33" t="s">
        <v>64</v>
      </c>
    </row>
    <row r="7" customFormat="false" ht="22.35" hidden="false" customHeight="false" outlineLevel="0" collapsed="false">
      <c r="A7" s="11" t="s">
        <v>65</v>
      </c>
      <c r="B7" s="11" t="s">
        <v>62</v>
      </c>
      <c r="C7" s="11" t="s">
        <v>66</v>
      </c>
      <c r="D7" s="29" t="n">
        <v>54.9</v>
      </c>
      <c r="E7" s="30" t="n">
        <f aca="false">D7*(1+Summary!$B$7)</f>
        <v>60.39</v>
      </c>
      <c r="F7" s="31" t="n">
        <v>0.38</v>
      </c>
      <c r="G7" s="30" t="n">
        <f aca="false">E7*F7</f>
        <v>22.9482</v>
      </c>
      <c r="H7" s="32" t="n">
        <f aca="false">F7*Summary!$B$6</f>
        <v>19</v>
      </c>
      <c r="I7" s="32" t="n">
        <f aca="false">G7*Summary!$B$6</f>
        <v>1147.41</v>
      </c>
      <c r="J7" s="33" t="s">
        <v>67</v>
      </c>
    </row>
    <row r="8" customFormat="false" ht="15" hidden="false" customHeight="false" outlineLevel="0" collapsed="false">
      <c r="A8" s="11" t="s">
        <v>68</v>
      </c>
      <c r="B8" s="11" t="s">
        <v>62</v>
      </c>
      <c r="C8" s="11" t="s">
        <v>69</v>
      </c>
      <c r="D8" s="29" t="n">
        <v>99</v>
      </c>
      <c r="E8" s="30" t="n">
        <f aca="false">D8*(1+Summary!$B$7)</f>
        <v>108.9</v>
      </c>
      <c r="F8" s="31" t="n">
        <v>0.3</v>
      </c>
      <c r="G8" s="30" t="n">
        <f aca="false">E8*F8</f>
        <v>32.67</v>
      </c>
      <c r="H8" s="32" t="n">
        <f aca="false">F8*Summary!$B$6</f>
        <v>15</v>
      </c>
      <c r="I8" s="32" t="n">
        <f aca="false">G8*Summary!$B$6</f>
        <v>1633.5</v>
      </c>
      <c r="J8" s="33" t="s">
        <v>70</v>
      </c>
    </row>
    <row r="9" customFormat="false" ht="15" hidden="false" customHeight="false" outlineLevel="0" collapsed="false">
      <c r="A9" s="11" t="s">
        <v>71</v>
      </c>
      <c r="B9" s="11" t="s">
        <v>62</v>
      </c>
      <c r="C9" s="11" t="s">
        <v>72</v>
      </c>
      <c r="D9" s="29" t="n">
        <v>106.6</v>
      </c>
      <c r="E9" s="30" t="n">
        <f aca="false">D9*(1+Summary!$B$7)</f>
        <v>117.26</v>
      </c>
      <c r="F9" s="31" t="n">
        <v>0.25</v>
      </c>
      <c r="G9" s="30" t="n">
        <f aca="false">E9*F9</f>
        <v>29.315</v>
      </c>
      <c r="H9" s="32" t="n">
        <f aca="false">F9*Summary!$B$6</f>
        <v>12.5</v>
      </c>
      <c r="I9" s="32" t="n">
        <f aca="false">G9*Summary!$B$6</f>
        <v>1465.75</v>
      </c>
      <c r="J9" s="33" t="s">
        <v>73</v>
      </c>
    </row>
    <row r="10" customFormat="false" ht="22.35" hidden="false" customHeight="false" outlineLevel="0" collapsed="false">
      <c r="A10" s="11" t="s">
        <v>74</v>
      </c>
      <c r="B10" s="11" t="s">
        <v>75</v>
      </c>
      <c r="C10" s="11" t="s">
        <v>63</v>
      </c>
      <c r="D10" s="29" t="n">
        <v>53.1</v>
      </c>
      <c r="E10" s="30" t="n">
        <f aca="false">D10*(1+Summary!$B$7)</f>
        <v>58.41</v>
      </c>
      <c r="F10" s="31" t="n">
        <v>0.48</v>
      </c>
      <c r="G10" s="30" t="n">
        <f aca="false">E10*F10</f>
        <v>28.0368</v>
      </c>
      <c r="H10" s="32" t="n">
        <f aca="false">F10*Summary!$B$6</f>
        <v>24</v>
      </c>
      <c r="I10" s="32" t="n">
        <f aca="false">G10*Summary!$B$6</f>
        <v>1401.84</v>
      </c>
      <c r="J10" s="33" t="s">
        <v>76</v>
      </c>
    </row>
    <row r="11" customFormat="false" ht="15" hidden="false" customHeight="false" outlineLevel="0" collapsed="false">
      <c r="A11" s="11" t="s">
        <v>77</v>
      </c>
      <c r="B11" s="11" t="s">
        <v>78</v>
      </c>
      <c r="C11" s="11" t="s">
        <v>63</v>
      </c>
      <c r="D11" s="29" t="n">
        <v>7</v>
      </c>
      <c r="E11" s="30" t="n">
        <f aca="false">D11*(1+Summary!$B$7)</f>
        <v>7.7</v>
      </c>
      <c r="F11" s="31" t="n">
        <v>0.48</v>
      </c>
      <c r="G11" s="30" t="n">
        <f aca="false">E11*F11</f>
        <v>3.696</v>
      </c>
      <c r="H11" s="32" t="n">
        <f aca="false">F11*Summary!$B$6</f>
        <v>24</v>
      </c>
      <c r="I11" s="32" t="n">
        <f aca="false">G11*Summary!$B$6</f>
        <v>184.8</v>
      </c>
      <c r="J11" s="33" t="s">
        <v>79</v>
      </c>
    </row>
    <row r="12" customFormat="false" ht="15" hidden="false" customHeight="false" outlineLevel="0" collapsed="false">
      <c r="A12" s="11" t="s">
        <v>80</v>
      </c>
      <c r="B12" s="11" t="s">
        <v>78</v>
      </c>
      <c r="C12" s="11" t="s">
        <v>66</v>
      </c>
      <c r="D12" s="29" t="n">
        <v>62</v>
      </c>
      <c r="E12" s="30" t="n">
        <f aca="false">D12*(1+Summary!$B$7)</f>
        <v>68.2</v>
      </c>
      <c r="F12" s="31" t="n">
        <v>0.38</v>
      </c>
      <c r="G12" s="30" t="n">
        <f aca="false">E12*F12</f>
        <v>25.916</v>
      </c>
      <c r="H12" s="32" t="n">
        <f aca="false">F12*Summary!$B$6</f>
        <v>19</v>
      </c>
      <c r="I12" s="32" t="n">
        <f aca="false">G12*Summary!$B$6</f>
        <v>1295.8</v>
      </c>
      <c r="J12" s="33" t="s">
        <v>81</v>
      </c>
    </row>
    <row r="13" customFormat="false" ht="15" hidden="false" customHeight="false" outlineLevel="0" collapsed="false">
      <c r="A13" s="11" t="s">
        <v>82</v>
      </c>
      <c r="B13" s="11" t="s">
        <v>78</v>
      </c>
      <c r="C13" s="11" t="s">
        <v>69</v>
      </c>
      <c r="D13" s="29" t="n">
        <v>104.6</v>
      </c>
      <c r="E13" s="30" t="n">
        <f aca="false">D13*(1+Summary!$B$7)</f>
        <v>115.06</v>
      </c>
      <c r="F13" s="31" t="n">
        <v>0.3</v>
      </c>
      <c r="G13" s="30" t="n">
        <f aca="false">E13*F13</f>
        <v>34.518</v>
      </c>
      <c r="H13" s="32" t="n">
        <f aca="false">F13*Summary!$B$6</f>
        <v>15</v>
      </c>
      <c r="I13" s="32" t="n">
        <f aca="false">G13*Summary!$B$6</f>
        <v>1725.9</v>
      </c>
      <c r="J13" s="33" t="s">
        <v>83</v>
      </c>
    </row>
    <row r="14" customFormat="false" ht="15" hidden="false" customHeight="false" outlineLevel="0" collapsed="false">
      <c r="A14" s="11" t="s">
        <v>84</v>
      </c>
      <c r="B14" s="11" t="s">
        <v>78</v>
      </c>
      <c r="C14" s="11" t="s">
        <v>72</v>
      </c>
      <c r="D14" s="29" t="n">
        <v>81.5</v>
      </c>
      <c r="E14" s="30" t="n">
        <f aca="false">D14*(1+Summary!$B$7)</f>
        <v>89.65</v>
      </c>
      <c r="F14" s="31" t="n">
        <v>0.25</v>
      </c>
      <c r="G14" s="30" t="n">
        <f aca="false">E14*F14</f>
        <v>22.4125</v>
      </c>
      <c r="H14" s="32" t="n">
        <f aca="false">F14*Summary!$B$6</f>
        <v>12.5</v>
      </c>
      <c r="I14" s="32" t="n">
        <f aca="false">G14*Summary!$B$6</f>
        <v>1120.625</v>
      </c>
      <c r="J14" s="33" t="s">
        <v>85</v>
      </c>
    </row>
    <row r="15" customFormat="false" ht="15" hidden="false" customHeight="false" outlineLevel="0" collapsed="false">
      <c r="A15" s="11" t="s">
        <v>86</v>
      </c>
      <c r="B15" s="11" t="s">
        <v>87</v>
      </c>
      <c r="C15" s="11" t="s">
        <v>69</v>
      </c>
      <c r="D15" s="29" t="n">
        <v>13.7</v>
      </c>
      <c r="E15" s="30" t="n">
        <f aca="false">D15*(1+Summary!$B$7)</f>
        <v>15.07</v>
      </c>
      <c r="F15" s="31" t="n">
        <v>0.3</v>
      </c>
      <c r="G15" s="30" t="n">
        <f aca="false">E15*F15</f>
        <v>4.521</v>
      </c>
      <c r="H15" s="32" t="n">
        <f aca="false">F15*Summary!$B$6</f>
        <v>15</v>
      </c>
      <c r="I15" s="32" t="n">
        <f aca="false">G15*Summary!$B$6</f>
        <v>226.05</v>
      </c>
      <c r="J15" s="33" t="s">
        <v>88</v>
      </c>
    </row>
    <row r="16" customFormat="false" ht="22.35" hidden="false" customHeight="false" outlineLevel="0" collapsed="false">
      <c r="A16" s="11" t="s">
        <v>89</v>
      </c>
      <c r="B16" s="11" t="s">
        <v>87</v>
      </c>
      <c r="C16" s="11" t="s">
        <v>72</v>
      </c>
      <c r="D16" s="29" t="n">
        <v>206.5</v>
      </c>
      <c r="E16" s="30" t="n">
        <f aca="false">D16*(1+Summary!$B$7)</f>
        <v>227.15</v>
      </c>
      <c r="F16" s="31" t="n">
        <v>0.25</v>
      </c>
      <c r="G16" s="30" t="n">
        <f aca="false">E16*F16</f>
        <v>56.7875</v>
      </c>
      <c r="H16" s="32" t="n">
        <f aca="false">F16*Summary!$B$6</f>
        <v>12.5</v>
      </c>
      <c r="I16" s="32" t="n">
        <f aca="false">G16*Summary!$B$6</f>
        <v>2839.375</v>
      </c>
      <c r="J16" s="33" t="s">
        <v>90</v>
      </c>
    </row>
    <row r="17" customFormat="false" ht="15" hidden="false" customHeight="false" outlineLevel="0" collapsed="false">
      <c r="A17" s="21"/>
      <c r="B17" s="34" t="s">
        <v>91</v>
      </c>
      <c r="C17" s="21"/>
      <c r="D17" s="35" t="n">
        <f aca="false">SUM(D6:D16)</f>
        <v>816.3</v>
      </c>
      <c r="E17" s="35" t="n">
        <f aca="false">SUM(E6:E16)</f>
        <v>897.93</v>
      </c>
      <c r="F17" s="21"/>
      <c r="G17" s="35" t="n">
        <f aca="false">SUM(G6:G16)</f>
        <v>275.2882</v>
      </c>
      <c r="H17" s="21"/>
      <c r="I17" s="36" t="n">
        <f aca="false">SUM(I6:I16)</f>
        <v>13764.41</v>
      </c>
      <c r="J17" s="21"/>
    </row>
    <row r="19" customFormat="false" ht="15" hidden="false" customHeight="false" outlineLevel="0" collapsed="false">
      <c r="A19" s="27" t="s">
        <v>92</v>
      </c>
      <c r="B19" s="27" t="s">
        <v>93</v>
      </c>
      <c r="C19" s="28"/>
      <c r="D19" s="28"/>
      <c r="E19" s="28"/>
      <c r="F19" s="28"/>
      <c r="G19" s="28"/>
      <c r="H19" s="28"/>
      <c r="I19" s="28"/>
      <c r="J19" s="28"/>
    </row>
    <row r="20" customFormat="false" ht="22.35" hidden="false" customHeight="false" outlineLevel="0" collapsed="false">
      <c r="A20" s="11" t="s">
        <v>94</v>
      </c>
      <c r="B20" s="11" t="s">
        <v>95</v>
      </c>
      <c r="C20" s="11" t="s">
        <v>96</v>
      </c>
      <c r="D20" s="29" t="n">
        <v>95.1</v>
      </c>
      <c r="E20" s="30" t="n">
        <f aca="false">D20*(1+Summary!$B$7)</f>
        <v>104.61</v>
      </c>
      <c r="F20" s="31" t="n">
        <v>0.5</v>
      </c>
      <c r="G20" s="30" t="n">
        <f aca="false">E20*F20</f>
        <v>52.305</v>
      </c>
      <c r="H20" s="32" t="n">
        <f aca="false">F20*Summary!$B$6</f>
        <v>25</v>
      </c>
      <c r="I20" s="32" t="n">
        <f aca="false">G20*Summary!$B$6</f>
        <v>2615.25</v>
      </c>
      <c r="J20" s="33" t="s">
        <v>97</v>
      </c>
    </row>
    <row r="21" customFormat="false" ht="15" hidden="false" customHeight="false" outlineLevel="0" collapsed="false">
      <c r="A21" s="11" t="s">
        <v>98</v>
      </c>
      <c r="B21" s="11" t="s">
        <v>99</v>
      </c>
      <c r="C21" s="11" t="s">
        <v>100</v>
      </c>
      <c r="D21" s="29" t="n">
        <v>128.6</v>
      </c>
      <c r="E21" s="30" t="n">
        <f aca="false">D21*(1+Summary!$B$7)</f>
        <v>141.46</v>
      </c>
      <c r="F21" s="31" t="n">
        <v>0.42</v>
      </c>
      <c r="G21" s="30" t="n">
        <f aca="false">E21*F21</f>
        <v>59.4132</v>
      </c>
      <c r="H21" s="32" t="n">
        <f aca="false">F21*Summary!$B$6</f>
        <v>21</v>
      </c>
      <c r="I21" s="32" t="n">
        <f aca="false">G21*Summary!$B$6</f>
        <v>2970.66</v>
      </c>
      <c r="J21" s="33" t="s">
        <v>101</v>
      </c>
    </row>
    <row r="22" customFormat="false" ht="15" hidden="false" customHeight="false" outlineLevel="0" collapsed="false">
      <c r="A22" s="11" t="s">
        <v>102</v>
      </c>
      <c r="B22" s="11" t="s">
        <v>103</v>
      </c>
      <c r="C22" s="11" t="s">
        <v>104</v>
      </c>
      <c r="D22" s="29" t="n">
        <v>83.7</v>
      </c>
      <c r="E22" s="30" t="n">
        <f aca="false">D22*(1+Summary!$B$7)</f>
        <v>92.07</v>
      </c>
      <c r="F22" s="31" t="n">
        <v>0.33</v>
      </c>
      <c r="G22" s="30" t="n">
        <f aca="false">E22*F22</f>
        <v>30.3831</v>
      </c>
      <c r="H22" s="32" t="n">
        <f aca="false">F22*Summary!$B$6</f>
        <v>16.5</v>
      </c>
      <c r="I22" s="32" t="n">
        <f aca="false">G22*Summary!$B$6</f>
        <v>1519.155</v>
      </c>
      <c r="J22" s="33" t="s">
        <v>105</v>
      </c>
    </row>
    <row r="23" customFormat="false" ht="15" hidden="false" customHeight="false" outlineLevel="0" collapsed="false">
      <c r="A23" s="11" t="s">
        <v>106</v>
      </c>
      <c r="B23" s="11" t="s">
        <v>99</v>
      </c>
      <c r="C23" s="11" t="s">
        <v>107</v>
      </c>
      <c r="D23" s="29" t="n">
        <v>156.4</v>
      </c>
      <c r="E23" s="30" t="n">
        <f aca="false">D23*(1+Summary!$B$7)</f>
        <v>172.04</v>
      </c>
      <c r="F23" s="31" t="n">
        <v>0.27</v>
      </c>
      <c r="G23" s="30" t="n">
        <f aca="false">E23*F23</f>
        <v>46.4508</v>
      </c>
      <c r="H23" s="32" t="n">
        <f aca="false">F23*Summary!$B$6</f>
        <v>13.5</v>
      </c>
      <c r="I23" s="32" t="n">
        <f aca="false">G23*Summary!$B$6</f>
        <v>2322.54</v>
      </c>
      <c r="J23" s="33" t="s">
        <v>108</v>
      </c>
    </row>
    <row r="24" customFormat="false" ht="15" hidden="false" customHeight="false" outlineLevel="0" collapsed="false">
      <c r="A24" s="11" t="s">
        <v>109</v>
      </c>
      <c r="B24" s="11" t="s">
        <v>110</v>
      </c>
      <c r="C24" s="11" t="s">
        <v>72</v>
      </c>
      <c r="D24" s="29" t="n">
        <v>417.9</v>
      </c>
      <c r="E24" s="30" t="n">
        <f aca="false">D24*(1+Summary!$B$7)</f>
        <v>459.69</v>
      </c>
      <c r="F24" s="31" t="n">
        <v>0.22</v>
      </c>
      <c r="G24" s="30" t="n">
        <f aca="false">E24*F24</f>
        <v>101.1318</v>
      </c>
      <c r="H24" s="32" t="n">
        <f aca="false">F24*Summary!$B$6</f>
        <v>11</v>
      </c>
      <c r="I24" s="32" t="n">
        <f aca="false">G24*Summary!$B$6</f>
        <v>5056.59</v>
      </c>
      <c r="J24" s="33" t="s">
        <v>111</v>
      </c>
    </row>
    <row r="25" customFormat="false" ht="22.35" hidden="false" customHeight="false" outlineLevel="0" collapsed="false">
      <c r="A25" s="11" t="s">
        <v>112</v>
      </c>
      <c r="B25" s="11" t="s">
        <v>113</v>
      </c>
      <c r="C25" s="11" t="s">
        <v>72</v>
      </c>
      <c r="D25" s="29" t="n">
        <v>270</v>
      </c>
      <c r="E25" s="30" t="n">
        <f aca="false">D25*(1+Summary!$B$7)</f>
        <v>297</v>
      </c>
      <c r="F25" s="31" t="n">
        <v>0.22</v>
      </c>
      <c r="G25" s="30" t="n">
        <f aca="false">E25*F25</f>
        <v>65.34</v>
      </c>
      <c r="H25" s="32" t="n">
        <f aca="false">F25*Summary!$B$6</f>
        <v>11</v>
      </c>
      <c r="I25" s="32" t="n">
        <f aca="false">G25*Summary!$B$6</f>
        <v>3267</v>
      </c>
      <c r="J25" s="33" t="s">
        <v>114</v>
      </c>
    </row>
    <row r="26" customFormat="false" ht="15" hidden="false" customHeight="false" outlineLevel="0" collapsed="false">
      <c r="A26" s="21"/>
      <c r="B26" s="34" t="s">
        <v>115</v>
      </c>
      <c r="C26" s="21"/>
      <c r="D26" s="35" t="n">
        <f aca="false">SUM(D20:D25)</f>
        <v>1151.7</v>
      </c>
      <c r="E26" s="35" t="n">
        <f aca="false">SUM(E20:E25)</f>
        <v>1266.87</v>
      </c>
      <c r="F26" s="21"/>
      <c r="G26" s="35" t="n">
        <f aca="false">SUM(G20:G25)</f>
        <v>355.0239</v>
      </c>
      <c r="H26" s="21"/>
      <c r="I26" s="36" t="n">
        <f aca="false">SUM(I20:I25)</f>
        <v>17751.195</v>
      </c>
      <c r="J26" s="21"/>
    </row>
    <row r="28" customFormat="false" ht="15" hidden="false" customHeight="false" outlineLevel="0" collapsed="false">
      <c r="A28" s="27" t="s">
        <v>116</v>
      </c>
      <c r="B28" s="27" t="s">
        <v>117</v>
      </c>
      <c r="C28" s="28"/>
      <c r="D28" s="28"/>
      <c r="E28" s="28"/>
      <c r="F28" s="28"/>
      <c r="G28" s="28"/>
      <c r="H28" s="28"/>
      <c r="I28" s="28"/>
      <c r="J28" s="28"/>
    </row>
    <row r="29" customFormat="false" ht="15" hidden="false" customHeight="false" outlineLevel="0" collapsed="false">
      <c r="A29" s="11" t="s">
        <v>118</v>
      </c>
      <c r="B29" s="11" t="s">
        <v>119</v>
      </c>
      <c r="C29" s="11" t="s">
        <v>120</v>
      </c>
      <c r="D29" s="29" t="n">
        <v>25</v>
      </c>
      <c r="E29" s="30" t="n">
        <f aca="false">D29*(1+Summary!$B$7)</f>
        <v>27.5</v>
      </c>
      <c r="F29" s="31" t="n">
        <v>0.35</v>
      </c>
      <c r="G29" s="30" t="n">
        <f aca="false">E29*F29</f>
        <v>9.625</v>
      </c>
      <c r="H29" s="32" t="n">
        <f aca="false">F29*Summary!$B$6</f>
        <v>17.5</v>
      </c>
      <c r="I29" s="32" t="n">
        <f aca="false">G29*Summary!$B$6</f>
        <v>481.25</v>
      </c>
      <c r="J29" s="33" t="s">
        <v>121</v>
      </c>
    </row>
    <row r="30" customFormat="false" ht="15" hidden="false" customHeight="false" outlineLevel="0" collapsed="false">
      <c r="A30" s="11" t="s">
        <v>122</v>
      </c>
      <c r="B30" s="11" t="s">
        <v>123</v>
      </c>
      <c r="C30" s="11" t="s">
        <v>124</v>
      </c>
      <c r="D30" s="29" t="n">
        <v>12</v>
      </c>
      <c r="E30" s="30" t="n">
        <f aca="false">D30*(1+Summary!$B$7)</f>
        <v>13.2</v>
      </c>
      <c r="F30" s="31" t="n">
        <v>0.25</v>
      </c>
      <c r="G30" s="30" t="n">
        <f aca="false">E30*F30</f>
        <v>3.3</v>
      </c>
      <c r="H30" s="32" t="n">
        <f aca="false">F30*Summary!$B$6</f>
        <v>12.5</v>
      </c>
      <c r="I30" s="32" t="n">
        <f aca="false">G30*Summary!$B$6</f>
        <v>165</v>
      </c>
      <c r="J30" s="33" t="s">
        <v>125</v>
      </c>
    </row>
    <row r="31" customFormat="false" ht="15" hidden="false" customHeight="false" outlineLevel="0" collapsed="false">
      <c r="A31" s="11" t="s">
        <v>126</v>
      </c>
      <c r="B31" s="11" t="s">
        <v>123</v>
      </c>
      <c r="C31" s="11" t="s">
        <v>127</v>
      </c>
      <c r="D31" s="29" t="n">
        <v>24</v>
      </c>
      <c r="E31" s="30" t="n">
        <f aca="false">D31*(1+Summary!$B$7)</f>
        <v>26.4</v>
      </c>
      <c r="F31" s="31" t="n">
        <v>0.22</v>
      </c>
      <c r="G31" s="30" t="n">
        <f aca="false">E31*F31</f>
        <v>5.808</v>
      </c>
      <c r="H31" s="32" t="n">
        <f aca="false">F31*Summary!$B$6</f>
        <v>11</v>
      </c>
      <c r="I31" s="32" t="n">
        <f aca="false">G31*Summary!$B$6</f>
        <v>290.4</v>
      </c>
      <c r="J31" s="33" t="s">
        <v>125</v>
      </c>
    </row>
    <row r="32" customFormat="false" ht="15" hidden="false" customHeight="false" outlineLevel="0" collapsed="false">
      <c r="A32" s="11" t="s">
        <v>128</v>
      </c>
      <c r="B32" s="11" t="s">
        <v>129</v>
      </c>
      <c r="C32" s="11" t="s">
        <v>120</v>
      </c>
      <c r="D32" s="29" t="n">
        <v>55</v>
      </c>
      <c r="E32" s="30" t="n">
        <f aca="false">D32*(1+Summary!$B$7)</f>
        <v>60.5</v>
      </c>
      <c r="F32" s="31" t="n">
        <v>0.4</v>
      </c>
      <c r="G32" s="30" t="n">
        <f aca="false">E32*F32</f>
        <v>24.2</v>
      </c>
      <c r="H32" s="32" t="n">
        <f aca="false">F32*Summary!$B$6</f>
        <v>20</v>
      </c>
      <c r="I32" s="32" t="n">
        <f aca="false">G32*Summary!$B$6</f>
        <v>1210</v>
      </c>
      <c r="J32" s="33" t="s">
        <v>130</v>
      </c>
    </row>
    <row r="33" customFormat="false" ht="15" hidden="false" customHeight="false" outlineLevel="0" collapsed="false">
      <c r="A33" s="11" t="s">
        <v>131</v>
      </c>
      <c r="B33" s="11" t="s">
        <v>132</v>
      </c>
      <c r="C33" s="11" t="s">
        <v>133</v>
      </c>
      <c r="D33" s="29" t="n">
        <v>10</v>
      </c>
      <c r="E33" s="30" t="n">
        <f aca="false">D33*(1+Summary!$B$7)</f>
        <v>11</v>
      </c>
      <c r="F33" s="31" t="n">
        <v>0.3</v>
      </c>
      <c r="G33" s="30" t="n">
        <f aca="false">E33*F33</f>
        <v>3.3</v>
      </c>
      <c r="H33" s="32" t="n">
        <f aca="false">F33*Summary!$B$6</f>
        <v>15</v>
      </c>
      <c r="I33" s="32" t="n">
        <f aca="false">G33*Summary!$B$6</f>
        <v>165</v>
      </c>
      <c r="J33" s="33" t="s">
        <v>134</v>
      </c>
    </row>
    <row r="34" customFormat="false" ht="15" hidden="false" customHeight="false" outlineLevel="0" collapsed="false">
      <c r="A34" s="21"/>
      <c r="B34" s="34" t="s">
        <v>135</v>
      </c>
      <c r="C34" s="21"/>
      <c r="D34" s="35" t="n">
        <f aca="false">SUM(D29:D33)</f>
        <v>126</v>
      </c>
      <c r="E34" s="35" t="n">
        <f aca="false">SUM(E29:E33)</f>
        <v>138.6</v>
      </c>
      <c r="F34" s="21"/>
      <c r="G34" s="35" t="n">
        <f aca="false">SUM(G29:G33)</f>
        <v>46.233</v>
      </c>
      <c r="H34" s="21"/>
      <c r="I34" s="36" t="n">
        <f aca="false">SUM(I29:I33)</f>
        <v>2311.65</v>
      </c>
      <c r="J34" s="21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26" t="s">
        <v>136</v>
      </c>
    </row>
    <row r="2" customFormat="false" ht="15" hidden="false" customHeight="false" outlineLevel="0" collapsed="false">
      <c r="A2" s="37" t="s">
        <v>137</v>
      </c>
      <c r="B2" s="37"/>
      <c r="C2" s="37"/>
      <c r="D2" s="37"/>
      <c r="E2" s="37"/>
      <c r="F2" s="37"/>
      <c r="G2" s="37"/>
      <c r="H2" s="37"/>
    </row>
    <row r="4" customFormat="false" ht="15" hidden="false" customHeight="false" outlineLevel="0" collapsed="false">
      <c r="A4" s="10" t="s">
        <v>51</v>
      </c>
      <c r="B4" s="10" t="s">
        <v>138</v>
      </c>
      <c r="C4" s="10" t="s">
        <v>139</v>
      </c>
      <c r="D4" s="10" t="s">
        <v>140</v>
      </c>
      <c r="E4" s="10" t="s">
        <v>141</v>
      </c>
      <c r="F4" s="10" t="s">
        <v>14</v>
      </c>
      <c r="G4" s="10" t="s">
        <v>15</v>
      </c>
      <c r="H4" s="10" t="s">
        <v>142</v>
      </c>
    </row>
    <row r="5" customFormat="false" ht="15" hidden="false" customHeight="false" outlineLevel="0" collapsed="false">
      <c r="A5" s="27" t="s">
        <v>143</v>
      </c>
      <c r="B5" s="27" t="s">
        <v>144</v>
      </c>
      <c r="C5" s="28"/>
      <c r="D5" s="28"/>
      <c r="E5" s="28"/>
      <c r="F5" s="28"/>
      <c r="G5" s="28"/>
      <c r="H5" s="28"/>
    </row>
    <row r="6" customFormat="false" ht="26.85" hidden="false" customHeight="false" outlineLevel="0" collapsed="false">
      <c r="A6" s="11" t="s">
        <v>145</v>
      </c>
      <c r="B6" s="38" t="s">
        <v>146</v>
      </c>
      <c r="C6" s="11" t="s">
        <v>147</v>
      </c>
      <c r="D6" s="39" t="n">
        <v>1</v>
      </c>
      <c r="E6" s="31" t="n">
        <v>16</v>
      </c>
      <c r="F6" s="30" t="n">
        <f aca="false">D6*E6</f>
        <v>16</v>
      </c>
      <c r="G6" s="32" t="n">
        <f aca="false">F6*Summary!$B$6</f>
        <v>800</v>
      </c>
      <c r="H6" s="33" t="s">
        <v>148</v>
      </c>
    </row>
    <row r="7" customFormat="false" ht="26.85" hidden="false" customHeight="false" outlineLevel="0" collapsed="false">
      <c r="A7" s="11" t="s">
        <v>149</v>
      </c>
      <c r="B7" s="38" t="s">
        <v>150</v>
      </c>
      <c r="C7" s="11" t="s">
        <v>147</v>
      </c>
      <c r="D7" s="39" t="n">
        <v>1</v>
      </c>
      <c r="E7" s="31" t="n">
        <v>8</v>
      </c>
      <c r="F7" s="30" t="n">
        <f aca="false">D7*E7</f>
        <v>8</v>
      </c>
      <c r="G7" s="32" t="n">
        <f aca="false">F7*Summary!$B$6</f>
        <v>400</v>
      </c>
      <c r="H7" s="33"/>
    </row>
    <row r="8" customFormat="false" ht="15" hidden="false" customHeight="false" outlineLevel="0" collapsed="false">
      <c r="A8" s="21"/>
      <c r="B8" s="34" t="s">
        <v>151</v>
      </c>
      <c r="C8" s="21"/>
      <c r="D8" s="21"/>
      <c r="E8" s="21"/>
      <c r="F8" s="35" t="n">
        <f aca="false">SUM(F6:F7)</f>
        <v>24</v>
      </c>
      <c r="G8" s="36" t="n">
        <f aca="false">SUM(G6:G7)</f>
        <v>1200</v>
      </c>
      <c r="H8" s="21"/>
    </row>
    <row r="10" customFormat="false" ht="15" hidden="false" customHeight="false" outlineLevel="0" collapsed="false">
      <c r="A10" s="27" t="s">
        <v>152</v>
      </c>
      <c r="B10" s="27" t="s">
        <v>153</v>
      </c>
      <c r="C10" s="28"/>
      <c r="D10" s="28"/>
      <c r="E10" s="28"/>
      <c r="F10" s="28"/>
      <c r="G10" s="28"/>
      <c r="H10" s="28"/>
    </row>
    <row r="11" customFormat="false" ht="22.35" hidden="false" customHeight="false" outlineLevel="0" collapsed="false">
      <c r="A11" s="11" t="s">
        <v>154</v>
      </c>
      <c r="B11" s="38" t="s">
        <v>155</v>
      </c>
      <c r="C11" s="11" t="s">
        <v>156</v>
      </c>
      <c r="D11" s="39" t="n">
        <v>27</v>
      </c>
      <c r="E11" s="31" t="n">
        <v>0.75</v>
      </c>
      <c r="F11" s="30" t="n">
        <f aca="false">D11*E11</f>
        <v>20.25</v>
      </c>
      <c r="G11" s="32" t="n">
        <f aca="false">F11*Summary!$B$6</f>
        <v>1012.5</v>
      </c>
      <c r="H11" s="33" t="s">
        <v>157</v>
      </c>
    </row>
    <row r="12" customFormat="false" ht="26.85" hidden="false" customHeight="false" outlineLevel="0" collapsed="false">
      <c r="A12" s="11" t="s">
        <v>158</v>
      </c>
      <c r="B12" s="38" t="s">
        <v>159</v>
      </c>
      <c r="C12" s="11" t="s">
        <v>156</v>
      </c>
      <c r="D12" s="39" t="n">
        <v>24</v>
      </c>
      <c r="E12" s="31" t="n">
        <v>1.75</v>
      </c>
      <c r="F12" s="30" t="n">
        <f aca="false">D12*E12</f>
        <v>42</v>
      </c>
      <c r="G12" s="32" t="n">
        <f aca="false">F12*Summary!$B$6</f>
        <v>2100</v>
      </c>
      <c r="H12" s="33" t="s">
        <v>160</v>
      </c>
    </row>
    <row r="13" customFormat="false" ht="15" hidden="false" customHeight="false" outlineLevel="0" collapsed="false">
      <c r="A13" s="11" t="s">
        <v>161</v>
      </c>
      <c r="B13" s="38" t="s">
        <v>162</v>
      </c>
      <c r="C13" s="11" t="s">
        <v>156</v>
      </c>
      <c r="D13" s="39" t="n">
        <v>7</v>
      </c>
      <c r="E13" s="31" t="n">
        <v>1.75</v>
      </c>
      <c r="F13" s="30" t="n">
        <f aca="false">D13*E13</f>
        <v>12.25</v>
      </c>
      <c r="G13" s="32" t="n">
        <f aca="false">F13*Summary!$B$6</f>
        <v>612.5</v>
      </c>
      <c r="H13" s="33"/>
    </row>
    <row r="14" customFormat="false" ht="15" hidden="false" customHeight="false" outlineLevel="0" collapsed="false">
      <c r="A14" s="11" t="s">
        <v>163</v>
      </c>
      <c r="B14" s="38" t="s">
        <v>164</v>
      </c>
      <c r="C14" s="11" t="s">
        <v>156</v>
      </c>
      <c r="D14" s="39" t="n">
        <v>11</v>
      </c>
      <c r="E14" s="31" t="n">
        <v>1.5</v>
      </c>
      <c r="F14" s="30" t="n">
        <f aca="false">D14*E14</f>
        <v>16.5</v>
      </c>
      <c r="G14" s="32" t="n">
        <f aca="false">F14*Summary!$B$6</f>
        <v>825</v>
      </c>
      <c r="H14" s="33" t="s">
        <v>165</v>
      </c>
    </row>
    <row r="15" customFormat="false" ht="26.85" hidden="false" customHeight="false" outlineLevel="0" collapsed="false">
      <c r="A15" s="11" t="s">
        <v>166</v>
      </c>
      <c r="B15" s="38" t="s">
        <v>167</v>
      </c>
      <c r="C15" s="11" t="s">
        <v>156</v>
      </c>
      <c r="D15" s="39" t="n">
        <v>18</v>
      </c>
      <c r="E15" s="31" t="n">
        <v>0.5</v>
      </c>
      <c r="F15" s="30" t="n">
        <f aca="false">D15*E15</f>
        <v>9</v>
      </c>
      <c r="G15" s="32" t="n">
        <f aca="false">F15*Summary!$B$6</f>
        <v>450</v>
      </c>
      <c r="H15" s="33" t="s">
        <v>168</v>
      </c>
    </row>
    <row r="16" customFormat="false" ht="26.85" hidden="false" customHeight="false" outlineLevel="0" collapsed="false">
      <c r="A16" s="11" t="s">
        <v>169</v>
      </c>
      <c r="B16" s="38" t="s">
        <v>170</v>
      </c>
      <c r="C16" s="11" t="s">
        <v>147</v>
      </c>
      <c r="D16" s="39" t="n">
        <v>1</v>
      </c>
      <c r="E16" s="31" t="n">
        <v>12</v>
      </c>
      <c r="F16" s="30" t="n">
        <f aca="false">D16*E16</f>
        <v>12</v>
      </c>
      <c r="G16" s="32" t="n">
        <f aca="false">F16*Summary!$B$6</f>
        <v>600</v>
      </c>
      <c r="H16" s="33" t="s">
        <v>171</v>
      </c>
    </row>
    <row r="17" customFormat="false" ht="26.85" hidden="false" customHeight="false" outlineLevel="0" collapsed="false">
      <c r="A17" s="11" t="s">
        <v>172</v>
      </c>
      <c r="B17" s="38" t="s">
        <v>173</v>
      </c>
      <c r="C17" s="11" t="s">
        <v>147</v>
      </c>
      <c r="D17" s="39" t="n">
        <v>1</v>
      </c>
      <c r="E17" s="31" t="n">
        <v>16</v>
      </c>
      <c r="F17" s="30" t="n">
        <f aca="false">D17*E17</f>
        <v>16</v>
      </c>
      <c r="G17" s="32" t="n">
        <f aca="false">F17*Summary!$B$6</f>
        <v>800</v>
      </c>
      <c r="H17" s="33" t="s">
        <v>174</v>
      </c>
    </row>
    <row r="18" customFormat="false" ht="26.85" hidden="false" customHeight="false" outlineLevel="0" collapsed="false">
      <c r="A18" s="11" t="s">
        <v>175</v>
      </c>
      <c r="B18" s="38" t="s">
        <v>176</v>
      </c>
      <c r="C18" s="11" t="s">
        <v>177</v>
      </c>
      <c r="D18" s="39" t="n">
        <v>20</v>
      </c>
      <c r="E18" s="31" t="n">
        <v>0.45</v>
      </c>
      <c r="F18" s="30" t="n">
        <f aca="false">D18*E18</f>
        <v>9</v>
      </c>
      <c r="G18" s="32" t="n">
        <f aca="false">F18*Summary!$B$6</f>
        <v>450</v>
      </c>
      <c r="H18" s="33" t="s">
        <v>178</v>
      </c>
    </row>
    <row r="19" customFormat="false" ht="15" hidden="false" customHeight="false" outlineLevel="0" collapsed="false">
      <c r="A19" s="11" t="s">
        <v>179</v>
      </c>
      <c r="B19" s="38" t="s">
        <v>180</v>
      </c>
      <c r="C19" s="11" t="s">
        <v>156</v>
      </c>
      <c r="D19" s="39" t="n">
        <v>2</v>
      </c>
      <c r="E19" s="31" t="n">
        <v>4</v>
      </c>
      <c r="F19" s="30" t="n">
        <f aca="false">D19*E19</f>
        <v>8</v>
      </c>
      <c r="G19" s="32" t="n">
        <f aca="false">F19*Summary!$B$6</f>
        <v>400</v>
      </c>
      <c r="H19" s="33"/>
    </row>
    <row r="20" customFormat="false" ht="15" hidden="false" customHeight="false" outlineLevel="0" collapsed="false">
      <c r="A20" s="11" t="s">
        <v>181</v>
      </c>
      <c r="B20" s="38" t="s">
        <v>182</v>
      </c>
      <c r="C20" s="11" t="s">
        <v>147</v>
      </c>
      <c r="D20" s="39" t="n">
        <v>1</v>
      </c>
      <c r="E20" s="31" t="n">
        <v>8</v>
      </c>
      <c r="F20" s="30" t="n">
        <f aca="false">D20*E20</f>
        <v>8</v>
      </c>
      <c r="G20" s="32" t="n">
        <f aca="false">F20*Summary!$B$6</f>
        <v>400</v>
      </c>
      <c r="H20" s="33"/>
    </row>
    <row r="21" customFormat="false" ht="15" hidden="false" customHeight="false" outlineLevel="0" collapsed="false">
      <c r="A21" s="11" t="s">
        <v>183</v>
      </c>
      <c r="B21" s="38" t="s">
        <v>184</v>
      </c>
      <c r="C21" s="11" t="s">
        <v>147</v>
      </c>
      <c r="D21" s="39" t="n">
        <v>1</v>
      </c>
      <c r="E21" s="31" t="n">
        <v>12</v>
      </c>
      <c r="F21" s="30" t="n">
        <f aca="false">D21*E21</f>
        <v>12</v>
      </c>
      <c r="G21" s="32" t="n">
        <f aca="false">F21*Summary!$B$6</f>
        <v>600</v>
      </c>
      <c r="H21" s="33" t="s">
        <v>185</v>
      </c>
    </row>
    <row r="22" customFormat="false" ht="15" hidden="false" customHeight="false" outlineLevel="0" collapsed="false">
      <c r="A22" s="21"/>
      <c r="B22" s="34" t="s">
        <v>186</v>
      </c>
      <c r="C22" s="21"/>
      <c r="D22" s="21"/>
      <c r="E22" s="21"/>
      <c r="F22" s="35" t="n">
        <f aca="false">SUM(F11:F21)</f>
        <v>165</v>
      </c>
      <c r="G22" s="36" t="n">
        <f aca="false">SUM(G11:G21)</f>
        <v>8250</v>
      </c>
      <c r="H22" s="21"/>
    </row>
    <row r="24" customFormat="false" ht="15" hidden="false" customHeight="false" outlineLevel="0" collapsed="false">
      <c r="A24" s="27" t="s">
        <v>187</v>
      </c>
      <c r="B24" s="27" t="s">
        <v>188</v>
      </c>
      <c r="C24" s="28"/>
      <c r="D24" s="28"/>
      <c r="E24" s="28"/>
      <c r="F24" s="28"/>
      <c r="G24" s="28"/>
      <c r="H24" s="28"/>
    </row>
    <row r="25" customFormat="false" ht="26.85" hidden="false" customHeight="false" outlineLevel="0" collapsed="false">
      <c r="A25" s="11" t="s">
        <v>189</v>
      </c>
      <c r="B25" s="38" t="s">
        <v>190</v>
      </c>
      <c r="C25" s="11" t="s">
        <v>156</v>
      </c>
      <c r="D25" s="39" t="n">
        <v>48</v>
      </c>
      <c r="E25" s="31" t="n">
        <v>2.5</v>
      </c>
      <c r="F25" s="30" t="n">
        <f aca="false">D25*E25</f>
        <v>120</v>
      </c>
      <c r="G25" s="32" t="n">
        <f aca="false">F25*Summary!$B$6</f>
        <v>6000</v>
      </c>
      <c r="H25" s="33" t="s">
        <v>191</v>
      </c>
    </row>
    <row r="26" customFormat="false" ht="26.85" hidden="false" customHeight="false" outlineLevel="0" collapsed="false">
      <c r="A26" s="11" t="s">
        <v>192</v>
      </c>
      <c r="B26" s="38" t="s">
        <v>193</v>
      </c>
      <c r="C26" s="11" t="s">
        <v>156</v>
      </c>
      <c r="D26" s="39" t="n">
        <v>6</v>
      </c>
      <c r="E26" s="31" t="n">
        <v>3</v>
      </c>
      <c r="F26" s="30" t="n">
        <f aca="false">D26*E26</f>
        <v>18</v>
      </c>
      <c r="G26" s="32" t="n">
        <f aca="false">F26*Summary!$B$6</f>
        <v>900</v>
      </c>
      <c r="H26" s="33" t="s">
        <v>194</v>
      </c>
    </row>
    <row r="27" customFormat="false" ht="15" hidden="false" customHeight="false" outlineLevel="0" collapsed="false">
      <c r="A27" s="11" t="s">
        <v>195</v>
      </c>
      <c r="B27" s="38" t="s">
        <v>196</v>
      </c>
      <c r="C27" s="11" t="s">
        <v>156</v>
      </c>
      <c r="D27" s="39" t="n">
        <v>10</v>
      </c>
      <c r="E27" s="31" t="n">
        <v>1.5</v>
      </c>
      <c r="F27" s="30" t="n">
        <f aca="false">D27*E27</f>
        <v>15</v>
      </c>
      <c r="G27" s="32" t="n">
        <f aca="false">F27*Summary!$B$6</f>
        <v>750</v>
      </c>
      <c r="H27" s="33"/>
    </row>
    <row r="28" customFormat="false" ht="15" hidden="false" customHeight="false" outlineLevel="0" collapsed="false">
      <c r="A28" s="11" t="s">
        <v>197</v>
      </c>
      <c r="B28" s="38" t="s">
        <v>198</v>
      </c>
      <c r="C28" s="11" t="s">
        <v>199</v>
      </c>
      <c r="D28" s="39" t="n">
        <v>30</v>
      </c>
      <c r="E28" s="31" t="n">
        <v>0.5</v>
      </c>
      <c r="F28" s="30" t="n">
        <f aca="false">D28*E28</f>
        <v>15</v>
      </c>
      <c r="G28" s="32" t="n">
        <f aca="false">F28*Summary!$B$6</f>
        <v>750</v>
      </c>
      <c r="H28" s="33" t="s">
        <v>200</v>
      </c>
    </row>
    <row r="29" customFormat="false" ht="15" hidden="false" customHeight="false" outlineLevel="0" collapsed="false">
      <c r="A29" s="11" t="s">
        <v>201</v>
      </c>
      <c r="B29" s="38" t="s">
        <v>202</v>
      </c>
      <c r="C29" s="11" t="s">
        <v>156</v>
      </c>
      <c r="D29" s="39" t="n">
        <v>20</v>
      </c>
      <c r="E29" s="31" t="n">
        <v>0.4</v>
      </c>
      <c r="F29" s="30" t="n">
        <f aca="false">D29*E29</f>
        <v>8</v>
      </c>
      <c r="G29" s="32" t="n">
        <f aca="false">F29*Summary!$B$6</f>
        <v>400</v>
      </c>
      <c r="H29" s="33" t="s">
        <v>203</v>
      </c>
    </row>
    <row r="30" customFormat="false" ht="15" hidden="false" customHeight="false" outlineLevel="0" collapsed="false">
      <c r="A30" s="11" t="s">
        <v>204</v>
      </c>
      <c r="B30" s="38" t="s">
        <v>205</v>
      </c>
      <c r="C30" s="11" t="s">
        <v>156</v>
      </c>
      <c r="D30" s="39" t="n">
        <v>2</v>
      </c>
      <c r="E30" s="31" t="n">
        <v>6</v>
      </c>
      <c r="F30" s="30" t="n">
        <f aca="false">D30*E30</f>
        <v>12</v>
      </c>
      <c r="G30" s="32" t="n">
        <f aca="false">F30*Summary!$B$6</f>
        <v>600</v>
      </c>
      <c r="H30" s="33" t="s">
        <v>206</v>
      </c>
    </row>
    <row r="31" customFormat="false" ht="15" hidden="false" customHeight="false" outlineLevel="0" collapsed="false">
      <c r="A31" s="11" t="s">
        <v>207</v>
      </c>
      <c r="B31" s="38" t="s">
        <v>208</v>
      </c>
      <c r="C31" s="11" t="s">
        <v>156</v>
      </c>
      <c r="D31" s="39" t="n">
        <v>2</v>
      </c>
      <c r="E31" s="31" t="n">
        <v>4</v>
      </c>
      <c r="F31" s="30" t="n">
        <f aca="false">D31*E31</f>
        <v>8</v>
      </c>
      <c r="G31" s="32" t="n">
        <f aca="false">F31*Summary!$B$6</f>
        <v>400</v>
      </c>
      <c r="H31" s="33"/>
    </row>
    <row r="32" customFormat="false" ht="15" hidden="false" customHeight="false" outlineLevel="0" collapsed="false">
      <c r="A32" s="11" t="s">
        <v>209</v>
      </c>
      <c r="B32" s="38" t="s">
        <v>210</v>
      </c>
      <c r="C32" s="11" t="s">
        <v>156</v>
      </c>
      <c r="D32" s="39" t="n">
        <v>1</v>
      </c>
      <c r="E32" s="31" t="n">
        <v>4</v>
      </c>
      <c r="F32" s="30" t="n">
        <f aca="false">D32*E32</f>
        <v>4</v>
      </c>
      <c r="G32" s="32" t="n">
        <f aca="false">F32*Summary!$B$6</f>
        <v>200</v>
      </c>
      <c r="H32" s="33"/>
    </row>
    <row r="33" customFormat="false" ht="15" hidden="false" customHeight="false" outlineLevel="0" collapsed="false">
      <c r="A33" s="11" t="s">
        <v>211</v>
      </c>
      <c r="B33" s="38" t="s">
        <v>212</v>
      </c>
      <c r="C33" s="11" t="s">
        <v>147</v>
      </c>
      <c r="D33" s="39" t="n">
        <v>1</v>
      </c>
      <c r="E33" s="31" t="n">
        <v>24</v>
      </c>
      <c r="F33" s="30" t="n">
        <f aca="false">D33*E33</f>
        <v>24</v>
      </c>
      <c r="G33" s="32" t="n">
        <f aca="false">F33*Summary!$B$6</f>
        <v>1200</v>
      </c>
      <c r="H33" s="33" t="s">
        <v>213</v>
      </c>
    </row>
    <row r="34" customFormat="false" ht="15" hidden="false" customHeight="false" outlineLevel="0" collapsed="false">
      <c r="A34" s="21"/>
      <c r="B34" s="34" t="s">
        <v>214</v>
      </c>
      <c r="C34" s="21"/>
      <c r="D34" s="21"/>
      <c r="E34" s="21"/>
      <c r="F34" s="35" t="n">
        <f aca="false">SUM(F25:F33)</f>
        <v>224</v>
      </c>
      <c r="G34" s="36" t="n">
        <f aca="false">SUM(G25:G33)</f>
        <v>11200</v>
      </c>
      <c r="H34" s="21"/>
    </row>
    <row r="36" customFormat="false" ht="15" hidden="false" customHeight="false" outlineLevel="0" collapsed="false">
      <c r="A36" s="27" t="s">
        <v>215</v>
      </c>
      <c r="B36" s="27" t="s">
        <v>216</v>
      </c>
      <c r="C36" s="28"/>
      <c r="D36" s="28"/>
      <c r="E36" s="28"/>
      <c r="F36" s="28"/>
      <c r="G36" s="28"/>
      <c r="H36" s="28"/>
    </row>
    <row r="37" customFormat="false" ht="26.85" hidden="false" customHeight="false" outlineLevel="0" collapsed="false">
      <c r="A37" s="11" t="s">
        <v>217</v>
      </c>
      <c r="B37" s="38" t="s">
        <v>218</v>
      </c>
      <c r="C37" s="11" t="s">
        <v>156</v>
      </c>
      <c r="D37" s="39" t="n">
        <v>11</v>
      </c>
      <c r="E37" s="31" t="n">
        <v>1.5</v>
      </c>
      <c r="F37" s="30" t="n">
        <f aca="false">D37*E37</f>
        <v>16.5</v>
      </c>
      <c r="G37" s="32" t="n">
        <f aca="false">F37*Summary!$B$6</f>
        <v>825</v>
      </c>
      <c r="H37" s="33" t="s">
        <v>219</v>
      </c>
    </row>
    <row r="38" customFormat="false" ht="15" hidden="false" customHeight="false" outlineLevel="0" collapsed="false">
      <c r="A38" s="11" t="s">
        <v>220</v>
      </c>
      <c r="B38" s="38" t="s">
        <v>221</v>
      </c>
      <c r="C38" s="11" t="s">
        <v>156</v>
      </c>
      <c r="D38" s="39" t="n">
        <v>8</v>
      </c>
      <c r="E38" s="31" t="n">
        <v>1</v>
      </c>
      <c r="F38" s="30" t="n">
        <f aca="false">D38*E38</f>
        <v>8</v>
      </c>
      <c r="G38" s="32" t="n">
        <f aca="false">F38*Summary!$B$6</f>
        <v>400</v>
      </c>
      <c r="H38" s="33"/>
    </row>
    <row r="39" customFormat="false" ht="15" hidden="false" customHeight="false" outlineLevel="0" collapsed="false">
      <c r="A39" s="11" t="s">
        <v>222</v>
      </c>
      <c r="B39" s="38" t="s">
        <v>223</v>
      </c>
      <c r="C39" s="11" t="s">
        <v>156</v>
      </c>
      <c r="D39" s="39" t="n">
        <v>2</v>
      </c>
      <c r="E39" s="31" t="n">
        <v>1</v>
      </c>
      <c r="F39" s="30" t="n">
        <f aca="false">D39*E39</f>
        <v>2</v>
      </c>
      <c r="G39" s="32" t="n">
        <f aca="false">F39*Summary!$B$6</f>
        <v>100</v>
      </c>
      <c r="H39" s="33"/>
    </row>
    <row r="40" customFormat="false" ht="15" hidden="false" customHeight="false" outlineLevel="0" collapsed="false">
      <c r="A40" s="11" t="s">
        <v>224</v>
      </c>
      <c r="B40" s="38" t="s">
        <v>225</v>
      </c>
      <c r="C40" s="11" t="s">
        <v>156</v>
      </c>
      <c r="D40" s="39" t="n">
        <v>27</v>
      </c>
      <c r="E40" s="31" t="n">
        <v>0.5</v>
      </c>
      <c r="F40" s="30" t="n">
        <f aca="false">D40*E40</f>
        <v>13.5</v>
      </c>
      <c r="G40" s="32" t="n">
        <f aca="false">F40*Summary!$B$6</f>
        <v>675</v>
      </c>
      <c r="H40" s="33"/>
    </row>
    <row r="41" customFormat="false" ht="15" hidden="false" customHeight="false" outlineLevel="0" collapsed="false">
      <c r="A41" s="11" t="s">
        <v>226</v>
      </c>
      <c r="B41" s="38" t="s">
        <v>227</v>
      </c>
      <c r="C41" s="11" t="s">
        <v>156</v>
      </c>
      <c r="D41" s="39" t="n">
        <v>31</v>
      </c>
      <c r="E41" s="31" t="n">
        <v>0.5</v>
      </c>
      <c r="F41" s="30" t="n">
        <f aca="false">D41*E41</f>
        <v>15.5</v>
      </c>
      <c r="G41" s="32" t="n">
        <f aca="false">F41*Summary!$B$6</f>
        <v>775</v>
      </c>
      <c r="H41" s="33" t="s">
        <v>228</v>
      </c>
    </row>
    <row r="42" customFormat="false" ht="15" hidden="false" customHeight="false" outlineLevel="0" collapsed="false">
      <c r="A42" s="11" t="s">
        <v>229</v>
      </c>
      <c r="B42" s="38" t="s">
        <v>230</v>
      </c>
      <c r="C42" s="11" t="s">
        <v>156</v>
      </c>
      <c r="D42" s="39" t="n">
        <v>11</v>
      </c>
      <c r="E42" s="31" t="n">
        <v>1.5</v>
      </c>
      <c r="F42" s="30" t="n">
        <f aca="false">D42*E42</f>
        <v>16.5</v>
      </c>
      <c r="G42" s="32" t="n">
        <f aca="false">F42*Summary!$B$6</f>
        <v>825</v>
      </c>
      <c r="H42" s="33"/>
    </row>
    <row r="43" customFormat="false" ht="15" hidden="false" customHeight="false" outlineLevel="0" collapsed="false">
      <c r="A43" s="11" t="s">
        <v>231</v>
      </c>
      <c r="B43" s="38" t="s">
        <v>232</v>
      </c>
      <c r="C43" s="11" t="s">
        <v>156</v>
      </c>
      <c r="D43" s="39" t="n">
        <v>1</v>
      </c>
      <c r="E43" s="31" t="n">
        <v>4</v>
      </c>
      <c r="F43" s="30" t="n">
        <f aca="false">D43*E43</f>
        <v>4</v>
      </c>
      <c r="G43" s="32" t="n">
        <f aca="false">F43*Summary!$B$6</f>
        <v>200</v>
      </c>
      <c r="H43" s="33" t="s">
        <v>233</v>
      </c>
    </row>
    <row r="44" customFormat="false" ht="15" hidden="false" customHeight="false" outlineLevel="0" collapsed="false">
      <c r="A44" s="11" t="s">
        <v>234</v>
      </c>
      <c r="B44" s="38" t="s">
        <v>235</v>
      </c>
      <c r="C44" s="11" t="s">
        <v>156</v>
      </c>
      <c r="D44" s="39" t="n">
        <v>4</v>
      </c>
      <c r="E44" s="31" t="n">
        <v>0.75</v>
      </c>
      <c r="F44" s="30" t="n">
        <f aca="false">D44*E44</f>
        <v>3</v>
      </c>
      <c r="G44" s="32" t="n">
        <f aca="false">F44*Summary!$B$6</f>
        <v>150</v>
      </c>
      <c r="H44" s="33" t="s">
        <v>203</v>
      </c>
    </row>
    <row r="45" customFormat="false" ht="15" hidden="false" customHeight="false" outlineLevel="0" collapsed="false">
      <c r="A45" s="11" t="s">
        <v>236</v>
      </c>
      <c r="B45" s="38" t="s">
        <v>237</v>
      </c>
      <c r="C45" s="11" t="s">
        <v>156</v>
      </c>
      <c r="D45" s="39" t="n">
        <v>20</v>
      </c>
      <c r="E45" s="31" t="n">
        <v>0.25</v>
      </c>
      <c r="F45" s="30" t="n">
        <f aca="false">D45*E45</f>
        <v>5</v>
      </c>
      <c r="G45" s="32" t="n">
        <f aca="false">F45*Summary!$B$6</f>
        <v>250</v>
      </c>
      <c r="H45" s="33" t="s">
        <v>238</v>
      </c>
    </row>
    <row r="46" customFormat="false" ht="15" hidden="false" customHeight="false" outlineLevel="0" collapsed="false">
      <c r="A46" s="11" t="s">
        <v>239</v>
      </c>
      <c r="B46" s="38" t="s">
        <v>240</v>
      </c>
      <c r="C46" s="11" t="s">
        <v>147</v>
      </c>
      <c r="D46" s="39" t="n">
        <v>1</v>
      </c>
      <c r="E46" s="31" t="n">
        <v>6</v>
      </c>
      <c r="F46" s="30" t="n">
        <f aca="false">D46*E46</f>
        <v>6</v>
      </c>
      <c r="G46" s="32" t="n">
        <f aca="false">F46*Summary!$B$6</f>
        <v>300</v>
      </c>
      <c r="H46" s="33"/>
    </row>
    <row r="47" customFormat="false" ht="15" hidden="false" customHeight="false" outlineLevel="0" collapsed="false">
      <c r="A47" s="21"/>
      <c r="B47" s="34" t="s">
        <v>241</v>
      </c>
      <c r="C47" s="21"/>
      <c r="D47" s="21"/>
      <c r="E47" s="21"/>
      <c r="F47" s="35" t="n">
        <f aca="false">SUM(F37:F46)</f>
        <v>90</v>
      </c>
      <c r="G47" s="36" t="n">
        <f aca="false">SUM(G37:G46)</f>
        <v>4500</v>
      </c>
      <c r="H47" s="21"/>
    </row>
    <row r="49" customFormat="false" ht="15" hidden="false" customHeight="false" outlineLevel="0" collapsed="false">
      <c r="A49" s="27" t="s">
        <v>242</v>
      </c>
      <c r="B49" s="27" t="s">
        <v>243</v>
      </c>
      <c r="C49" s="28"/>
      <c r="D49" s="28"/>
      <c r="E49" s="28"/>
      <c r="F49" s="28"/>
      <c r="G49" s="28"/>
      <c r="H49" s="28"/>
    </row>
    <row r="50" customFormat="false" ht="26.85" hidden="false" customHeight="false" outlineLevel="0" collapsed="false">
      <c r="A50" s="11" t="s">
        <v>244</v>
      </c>
      <c r="B50" s="38" t="s">
        <v>245</v>
      </c>
      <c r="C50" s="11" t="s">
        <v>177</v>
      </c>
      <c r="D50" s="39" t="n">
        <v>30</v>
      </c>
      <c r="E50" s="31" t="n">
        <v>0.6</v>
      </c>
      <c r="F50" s="30" t="n">
        <f aca="false">D50*E50</f>
        <v>18</v>
      </c>
      <c r="G50" s="32" t="n">
        <f aca="false">F50*Summary!$B$6</f>
        <v>900</v>
      </c>
      <c r="H50" s="33" t="s">
        <v>246</v>
      </c>
    </row>
    <row r="51" customFormat="false" ht="26.85" hidden="false" customHeight="false" outlineLevel="0" collapsed="false">
      <c r="A51" s="11" t="s">
        <v>247</v>
      </c>
      <c r="B51" s="38" t="s">
        <v>248</v>
      </c>
      <c r="C51" s="11" t="s">
        <v>147</v>
      </c>
      <c r="D51" s="39" t="n">
        <v>1</v>
      </c>
      <c r="E51" s="31" t="n">
        <v>6</v>
      </c>
      <c r="F51" s="30" t="n">
        <f aca="false">D51*E51</f>
        <v>6</v>
      </c>
      <c r="G51" s="32" t="n">
        <f aca="false">F51*Summary!$B$6</f>
        <v>300</v>
      </c>
      <c r="H51" s="33" t="s">
        <v>249</v>
      </c>
    </row>
    <row r="52" customFormat="false" ht="26.85" hidden="false" customHeight="false" outlineLevel="0" collapsed="false">
      <c r="A52" s="11" t="s">
        <v>250</v>
      </c>
      <c r="B52" s="38" t="s">
        <v>251</v>
      </c>
      <c r="C52" s="11" t="s">
        <v>147</v>
      </c>
      <c r="D52" s="39" t="n">
        <v>1</v>
      </c>
      <c r="E52" s="31" t="n">
        <v>8</v>
      </c>
      <c r="F52" s="30" t="n">
        <f aca="false">D52*E52</f>
        <v>8</v>
      </c>
      <c r="G52" s="32" t="n">
        <f aca="false">F52*Summary!$B$6</f>
        <v>400</v>
      </c>
      <c r="H52" s="33"/>
    </row>
    <row r="53" customFormat="false" ht="15" hidden="false" customHeight="false" outlineLevel="0" collapsed="false">
      <c r="A53" s="21"/>
      <c r="B53" s="34" t="s">
        <v>252</v>
      </c>
      <c r="C53" s="21"/>
      <c r="D53" s="21"/>
      <c r="E53" s="21"/>
      <c r="F53" s="35" t="n">
        <f aca="false">SUM(F50:F52)</f>
        <v>32</v>
      </c>
      <c r="G53" s="36" t="n">
        <f aca="false">SUM(G50:G52)</f>
        <v>1600</v>
      </c>
      <c r="H53" s="21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2026-10-08T17:25:21Z</dcterms:created>
  <dc:creator>openpyxl</dc:creator>
  <dc:description/>
  <dc:language>en-US</dc:language>
  <cp:lastModifiedBy/>
  <dcterms:modified xsi:type="dcterms:W3CDTF">2026-10-08T17:25:21Z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
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 wrapText="1"/>
    </xf>
    <xf numFmtId="164" fontId="2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78" customWidth="1" min="2" max="2"/>
    <col width="10" customWidth="1" min="3" max="3"/>
    <col width="12" customWidth="1" min="4" max="4"/>
    <col width="14" customWidth="1" min="5" max="5"/>
    <col width="13" customWidth="1" min="6" max="6"/>
    <col width="48" customWidth="1" min="7" max="7"/>
  </cols>
  <sheetData>
    <row r="1">
      <c r="A1" s="1" t="inlineStr">
        <is>
          <t>HANNAH PLUMBING &amp; HEATING LTD - QUOTATION BUILD-UP</t>
        </is>
      </c>
    </row>
    <row r="2">
      <c r="A2" t="inlineStr">
        <is>
          <t>Aberdeen - Boiler replacement: remove Ideal Concord 100kW, install 2 No. Worcester Bosch Greenstar 8000 35kW system boilers with plate heat exchanger</t>
        </is>
      </c>
    </row>
    <row r="3">
      <c r="A3" t="inlineStr">
        <is>
          <t>Prices exclude VAT. Material rates are ESTIMATED trade prices - confirm with merchant before issuing. Site survey not yet carried out (see Qualifications).</t>
        </is>
      </c>
    </row>
    <row r="5">
      <c r="A5" s="2" t="inlineStr">
        <is>
          <t>Pricing inputs (yellow cells are editable):</t>
        </is>
      </c>
    </row>
    <row r="6">
      <c r="A6" t="inlineStr">
        <is>
          <t>Labour rate per hour (£)</t>
        </is>
      </c>
      <c r="D6" s="3" t="n">
        <v>50</v>
      </c>
      <c r="E6" t="inlineStr">
        <is>
          <t>Same rate as Life Church / Pivot Centre</t>
        </is>
      </c>
    </row>
    <row r="7">
      <c r="A7" t="inlineStr">
        <is>
          <t>Materials mark-up (%)</t>
        </is>
      </c>
      <c r="D7" s="4" t="n">
        <v>0.15</v>
      </c>
      <c r="E7" t="inlineStr">
        <is>
          <t>Same as Life Church tender</t>
        </is>
      </c>
    </row>
    <row r="8">
      <c r="A8" t="inlineStr">
        <is>
          <t>Mark-up on electrician (%)</t>
        </is>
      </c>
      <c r="D8" s="3" t="n">
        <v>0</v>
      </c>
      <c r="E8" t="inlineStr">
        <is>
          <t>Set to e.g. 0.10 to add 10% handling</t>
        </is>
      </c>
    </row>
    <row r="9">
      <c r="A9" t="inlineStr">
        <is>
          <t>Contingency on total (%)</t>
        </is>
      </c>
      <c r="D9" s="4" t="n">
        <v>0.05</v>
      </c>
      <c r="E9" t="inlineStr">
        <is>
          <t>Unsurveyed - flue route, gas supply, condition of existing system</t>
        </is>
      </c>
    </row>
    <row r="10">
      <c r="A10" t="inlineStr">
        <is>
          <t>Operatives on site</t>
        </is>
      </c>
      <c r="D10" s="3" t="n">
        <v>2</v>
      </c>
      <c r="E10" t="inlineStr">
        <is>
          <t>Used for programme days only</t>
        </is>
      </c>
    </row>
    <row r="11">
      <c r="A11" t="inlineStr">
        <is>
          <t>Hours per working day</t>
        </is>
      </c>
      <c r="D11" s="3" t="n">
        <v>8</v>
      </c>
      <c r="E11" t="inlineStr">
        <is>
          <t>Used for programme days only</t>
        </is>
      </c>
    </row>
    <row r="13">
      <c r="A13" s="5" t="inlineStr">
        <is>
          <t>Ref</t>
        </is>
      </c>
      <c r="B13" s="5" t="inlineStr">
        <is>
          <t>Description</t>
        </is>
      </c>
      <c r="C13" s="5" t="inlineStr">
        <is>
          <t>Labour hrs</t>
        </is>
      </c>
      <c r="D13" s="5" t="inlineStr">
        <is>
          <t>Labour (£)</t>
        </is>
      </c>
      <c r="E13" s="5" t="inlineStr">
        <is>
          <t>Materials inc. mark-up (£)</t>
        </is>
      </c>
      <c r="F13" s="5" t="inlineStr">
        <is>
          <t>Total (£)</t>
        </is>
      </c>
      <c r="G13" s="5" t="inlineStr">
        <is>
          <t>Notes</t>
        </is>
      </c>
    </row>
    <row r="14">
      <c r="A14" s="6" t="inlineStr">
        <is>
          <t>1</t>
        </is>
      </c>
      <c r="B14" s="6" t="inlineStr">
        <is>
          <t>Preliminaries - RAMS, gas &amp; site survey, set-up, protection, consumables</t>
        </is>
      </c>
      <c r="C14" s="7" t="n">
        <v>6</v>
      </c>
      <c r="D14" s="8">
        <f>C14*$D$6</f>
        <v/>
      </c>
      <c r="E14" s="8">
        <f>SUMIF(Materials!$A:$A,A14,Materials!$F:$F)*(1+$D$7)</f>
        <v/>
      </c>
      <c r="F14" s="8">
        <f>D14+E14</f>
        <v/>
      </c>
      <c r="G14" s="6" t="inlineStr">
        <is>
          <t>Allow for commercial gas paperwork</t>
        </is>
      </c>
    </row>
    <row r="15">
      <c r="A15" s="6" t="inlineStr">
        <is>
          <t>2</t>
        </is>
      </c>
      <c r="B15" s="6" t="inlineStr">
        <is>
          <t>Isolate, drain down, cap gas, disconnect &amp; remove Ideal Concord 100kW + existing flue; break down &amp; dispose</t>
        </is>
      </c>
      <c r="C15" s="7" t="n">
        <v>16</v>
      </c>
      <c r="D15" s="8">
        <f>C15*$D$6</f>
        <v/>
      </c>
      <c r="E15" s="8">
        <f>SUMIF(Materials!$A:$A,A15,Materials!$F:$F)*(1+$D$7)</f>
        <v/>
      </c>
      <c r="F15" s="8">
        <f>D15+E15</f>
        <v/>
      </c>
      <c r="G15" s="6" t="inlineStr">
        <is>
          <t>Concord is sectional cast iron - heavy, 2-man strip-out</t>
        </is>
      </c>
    </row>
    <row r="16">
      <c r="A16" s="6" t="inlineStr">
        <is>
          <t>3</t>
        </is>
      </c>
      <c r="B16" s="6" t="inlineStr">
        <is>
          <t>Supply &amp; fix 18mm plywood backing board to plant room wall</t>
        </is>
      </c>
      <c r="C16" s="7" t="n">
        <v>4</v>
      </c>
      <c r="D16" s="8">
        <f>C16*$D$6</f>
        <v/>
      </c>
      <c r="E16" s="8">
        <f>SUMIF(Materials!$A:$A,A16,Materials!$F:$F)*(1+$D$7)</f>
        <v/>
      </c>
      <c r="F16" s="8">
        <f>D16+E16</f>
        <v/>
      </c>
      <c r="G16" s="6" t="n"/>
    </row>
    <row r="17">
      <c r="A17" s="6" t="inlineStr">
        <is>
          <t>4</t>
        </is>
      </c>
      <c r="B17" s="6" t="inlineStr">
        <is>
          <t>Hang 2 No. Worcester Greenstar 8000 35kW system boilers incl. flue kits &amp; terminals</t>
        </is>
      </c>
      <c r="C17" s="7" t="n">
        <v>14</v>
      </c>
      <c r="D17" s="8">
        <f>C17*$D$6</f>
        <v/>
      </c>
      <c r="E17" s="8">
        <f>SUMIF(Materials!$A:$A,A17,Materials!$F:$F)*(1+$D$7)</f>
        <v/>
      </c>
      <c r="F17" s="8">
        <f>D17+E17</f>
        <v/>
      </c>
      <c r="G17" s="6" t="inlineStr">
        <is>
          <t>Assumes straight-through / short horizontal flues</t>
        </is>
      </c>
    </row>
    <row r="18">
      <c r="A18" s="6" t="inlineStr">
        <is>
          <t>5</t>
        </is>
      </c>
      <c r="B18" s="6" t="inlineStr">
        <is>
          <t>Primary pipework: boilers to plate heat exchanger incl. 2 No. magnetic filters, valves, pressurisation</t>
        </is>
      </c>
      <c r="C18" s="7" t="n">
        <v>20</v>
      </c>
      <c r="D18" s="8">
        <f>C18*$D$6</f>
        <v/>
      </c>
      <c r="E18" s="8">
        <f>SUMIF(Materials!$A:$A,A18,Materials!$F:$F)*(1+$D$7)</f>
        <v/>
      </c>
      <c r="F18" s="8">
        <f>D18+E18</f>
        <v/>
      </c>
      <c r="G18" s="6" t="inlineStr">
        <is>
          <t>Sealed primary circuit on boiler side</t>
        </is>
      </c>
    </row>
    <row r="19">
      <c r="A19" s="6" t="inlineStr">
        <is>
          <t>6</t>
        </is>
      </c>
      <c r="B19" s="6" t="inlineStr">
        <is>
          <t>Supply &amp; install Worcester plate heat exchanger; connect secondary (existing system) incl. new secondary pump</t>
        </is>
      </c>
      <c r="C19" s="7" t="n">
        <v>12</v>
      </c>
      <c r="D19" s="8">
        <f>C19*$D$6</f>
        <v/>
      </c>
      <c r="E19" s="8">
        <f>SUMIF(Materials!$A:$A,A19,Materials!$F:$F)*(1+$D$7)</f>
        <v/>
      </c>
      <c r="F19" s="8">
        <f>D19+E19</f>
        <v/>
      </c>
      <c r="G19" s="6" t="inlineStr">
        <is>
          <t>Separates new boilers from old system</t>
        </is>
      </c>
    </row>
    <row r="20">
      <c r="A20" s="6" t="inlineStr">
        <is>
          <t>7</t>
        </is>
      </c>
      <c r="B20" s="6" t="inlineStr">
        <is>
          <t>Gas pipework to both boilers incl. isolation valves; tightness test &amp; purge</t>
        </is>
      </c>
      <c r="C20" s="7" t="n">
        <v>6</v>
      </c>
      <c r="D20" s="8">
        <f>C20*$D$6</f>
        <v/>
      </c>
      <c r="E20" s="8">
        <f>SUMIF(Materials!$A:$A,A20,Materials!$F:$F)*(1+$D$7)</f>
        <v/>
      </c>
      <c r="F20" s="8">
        <f>D20+E20</f>
        <v/>
      </c>
      <c r="G20" s="6" t="inlineStr">
        <is>
          <t>Assumes existing gas supply adequate for 70kW</t>
        </is>
      </c>
    </row>
    <row r="21">
      <c r="A21" s="6" t="inlineStr">
        <is>
          <t>8</t>
        </is>
      </c>
      <c r="B21" s="6" t="inlineStr">
        <is>
          <t>Condensate pipework to suitable drain (2 No.)</t>
        </is>
      </c>
      <c r="C21" s="7" t="n">
        <v>3</v>
      </c>
      <c r="D21" s="8">
        <f>C21*$D$6</f>
        <v/>
      </c>
      <c r="E21" s="8">
        <f>SUMIF(Materials!$A:$A,A21,Materials!$F:$F)*(1+$D$7)</f>
        <v/>
      </c>
      <c r="F21" s="8">
        <f>D21+E21</f>
        <v/>
      </c>
      <c r="G21" s="6" t="n"/>
    </row>
    <row r="22">
      <c r="A22" s="6" t="inlineStr">
        <is>
          <t>9</t>
        </is>
      </c>
      <c r="B22" s="6" t="inlineStr">
        <is>
          <t>Insulate all new pipework in plant room</t>
        </is>
      </c>
      <c r="C22" s="7" t="n">
        <v>6</v>
      </c>
      <c r="D22" s="8">
        <f>C22*$D$6</f>
        <v/>
      </c>
      <c r="E22" s="8">
        <f>SUMIF(Materials!$A:$A,A22,Materials!$F:$F)*(1+$D$7)</f>
        <v/>
      </c>
      <c r="F22" s="8">
        <f>D22+E22</f>
        <v/>
      </c>
      <c r="G22" s="6" t="n"/>
    </row>
    <row r="23">
      <c r="A23" s="6" t="inlineStr">
        <is>
          <t>10</t>
        </is>
      </c>
      <c r="B23" s="6" t="inlineStr">
        <is>
          <t>Chemical clean / flush existing system, fill, inhibit (secondary &amp; primary)</t>
        </is>
      </c>
      <c r="C23" s="7" t="n">
        <v>6</v>
      </c>
      <c r="D23" s="8">
        <f>C23*$D$6</f>
        <v/>
      </c>
      <c r="E23" s="8">
        <f>SUMIF(Materials!$A:$A,A23,Materials!$F:$F)*(1+$D$7)</f>
        <v/>
      </c>
      <c r="F23" s="8">
        <f>D23+E23</f>
        <v/>
      </c>
      <c r="G23" s="6" t="inlineStr">
        <is>
          <t>Powerflush of old system NOT included</t>
        </is>
      </c>
    </row>
    <row r="24">
      <c r="A24" s="6" t="inlineStr">
        <is>
          <t>11</t>
        </is>
      </c>
      <c r="B24" s="6" t="inlineStr">
        <is>
          <t>Commission boilers, Benchmark, commercial gas certification, handover &amp; demo</t>
        </is>
      </c>
      <c r="C24" s="7" t="n">
        <v>7</v>
      </c>
      <c r="D24" s="8">
        <f>C24*$D$6</f>
        <v/>
      </c>
      <c r="E24" s="8">
        <f>SUMIF(Materials!$A:$A,A24,Materials!$F:$F)*(1+$D$7)</f>
        <v/>
      </c>
      <c r="F24" s="8">
        <f>D24+E24</f>
        <v/>
      </c>
      <c r="G24" s="6" t="n"/>
    </row>
    <row r="25">
      <c r="A25" s="6" t="inlineStr">
        <is>
          <t>12</t>
        </is>
      </c>
      <c r="B25" s="6" t="inlineStr">
        <is>
          <t>Electrical works - subcontract electrician (supplies, controls, wiring of boilers/pump)</t>
        </is>
      </c>
      <c r="C25" s="6" t="n"/>
      <c r="D25" s="6" t="n"/>
      <c r="E25" s="9" t="n">
        <v>1000</v>
      </c>
      <c r="F25" s="8">
        <f>E25*(1+$D$8)</f>
        <v/>
      </c>
      <c r="G25" s="6" t="inlineStr">
        <is>
          <t>Fixed price from electrician</t>
        </is>
      </c>
    </row>
    <row r="26">
      <c r="A26" s="6" t="inlineStr">
        <is>
          <t>13</t>
        </is>
      </c>
      <c r="B26" s="6" t="inlineStr">
        <is>
          <t>Travel &amp; accommodation allowance - Aberdeen (fuel + digs for 2 men)</t>
        </is>
      </c>
      <c r="C26" s="6" t="n"/>
      <c r="D26" s="6" t="n"/>
      <c r="E26" s="9" t="n">
        <v>1000</v>
      </c>
      <c r="F26" s="8">
        <f>E26</f>
        <v/>
      </c>
      <c r="G26" s="6" t="inlineStr">
        <is>
          <t>Set to 0 if local / not staying over</t>
        </is>
      </c>
    </row>
    <row r="28">
      <c r="B28" s="2" t="inlineStr">
        <is>
          <t>Sub-total</t>
        </is>
      </c>
      <c r="C28" s="2">
        <f>SUM(C14:C26)</f>
        <v/>
      </c>
      <c r="D28" s="10">
        <f>SUM(D14:D26)</f>
        <v/>
      </c>
      <c r="E28" s="10">
        <f>SUM(E14:E26)</f>
        <v/>
      </c>
      <c r="F28" s="10">
        <f>SUM(F14:F26)</f>
        <v/>
      </c>
    </row>
    <row r="29">
      <c r="B29" t="inlineStr">
        <is>
          <t>Contingency</t>
        </is>
      </c>
      <c r="F29" s="11">
        <f>F28*$D$9</f>
        <v/>
      </c>
    </row>
    <row r="30">
      <c r="B30" s="12" t="inlineStr">
        <is>
          <t>QUOTE TOTAL (ex VAT)</t>
        </is>
      </c>
      <c r="F30" s="13">
        <f>ROUND(F28+F29,-1)</f>
        <v/>
      </c>
    </row>
    <row r="31">
      <c r="B31" t="inlineStr">
        <is>
          <t>VAT @ 20%</t>
        </is>
      </c>
      <c r="F31" s="11">
        <f>F30*0.2</f>
        <v/>
      </c>
    </row>
    <row r="32">
      <c r="B32" s="2" t="inlineStr">
        <is>
          <t>QUOTE TOTAL (inc VAT)</t>
        </is>
      </c>
      <c r="F32" s="10">
        <f>F30*1.2</f>
        <v/>
      </c>
    </row>
    <row r="34">
      <c r="B34" t="inlineStr">
        <is>
          <t>Programme (days on site)</t>
        </is>
      </c>
      <c r="C34">
        <f>ROUNDUP(C28/($D$10*$D$11),0)</f>
        <v/>
      </c>
    </row>
    <row r="36">
      <c r="A36" s="2" t="inlineStr">
        <is>
          <t>Qualifications / exclusions</t>
        </is>
      </c>
    </row>
    <row r="37">
      <c r="B37" t="inlineStr">
        <is>
          <t>- Price subject to site survey - flue route, plant room access &amp; gas meter/supply capacity not yet checked.</t>
        </is>
      </c>
    </row>
    <row r="38">
      <c r="B38" t="inlineStr">
        <is>
          <t>- Assumes existing gas supply &amp; meter adequate for 2 x 35kW (70kW). Gas upgrade / new meter excluded.</t>
        </is>
      </c>
    </row>
    <row r="39">
      <c r="B39" t="inlineStr">
        <is>
          <t>- Assumes horizontal flues through wall within standard lengths. Vertical/plume or extended flues extra.</t>
        </is>
      </c>
    </row>
    <row r="40">
      <c r="B40" t="inlineStr">
        <is>
          <t>- If this is non-domestic premises (likely, given an existing 100kW Concord), the engineer needs the relevant commercial gas tickets - confirm before pricing labour.</t>
        </is>
      </c>
    </row>
    <row r="41">
      <c r="B41" t="inlineStr">
        <is>
          <t>- Powerflush of existing system, radiator/valve replacement and asbestos removal excluded.</t>
        </is>
      </c>
    </row>
    <row r="42">
      <c r="B42" t="inlineStr">
        <is>
          <t>- Builder work (making good, decoration, core drilling through stone) excluded unless stated.</t>
        </is>
      </c>
    </row>
    <row r="43">
      <c r="B43" t="inlineStr">
        <is>
          <t>- Electrical works by subcontract electrician as priced (£1,000) - confirm their scope covers controls/wiring centre.</t>
        </is>
      </c>
    </row>
    <row r="44">
      <c r="B44" t="inlineStr">
        <is>
          <t>- Boiler &amp; PHE prices to be confirmed with merchant - Worcester PHE model/size to be confirmed against heat 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6" customWidth="1" min="3" max="3"/>
    <col width="6" customWidth="1" min="4" max="4"/>
    <col width="11" customWidth="1" min="5" max="5"/>
    <col width="12" customWidth="1" min="6" max="6"/>
  </cols>
  <sheetData>
    <row r="1">
      <c r="A1" s="2" t="inlineStr">
        <is>
          <t>Materials - ESTIMATED trade prices (net), check with merchant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Rate (£)</t>
        </is>
      </c>
      <c r="F3" s="5" t="inlineStr">
        <is>
          <t>Total (£)</t>
        </is>
      </c>
    </row>
    <row r="4">
      <c r="A4" t="inlineStr">
        <is>
          <t>1</t>
        </is>
      </c>
      <c r="B4" t="inlineStr">
        <is>
          <t>Consumables - solder, flux, PTFE, fixings, protection</t>
        </is>
      </c>
      <c r="C4" t="n">
        <v>1</v>
      </c>
      <c r="D4" t="inlineStr">
        <is>
          <t>lot</t>
        </is>
      </c>
      <c r="E4" s="14" t="n">
        <v>150</v>
      </c>
      <c r="F4" s="11">
        <f>C4*E4</f>
        <v/>
      </c>
    </row>
    <row r="5">
      <c r="A5" t="inlineStr">
        <is>
          <t>2</t>
        </is>
      </c>
      <c r="B5" t="inlineStr">
        <is>
          <t>Disposal of old boiler / scrap &amp; skip share</t>
        </is>
      </c>
      <c r="C5" t="n">
        <v>1</v>
      </c>
      <c r="D5" t="inlineStr">
        <is>
          <t>item</t>
        </is>
      </c>
      <c r="E5" s="14" t="n">
        <v>150</v>
      </c>
      <c r="F5" s="11">
        <f>C5*E5</f>
        <v/>
      </c>
    </row>
    <row r="6">
      <c r="A6" t="inlineStr">
        <is>
          <t>2</t>
        </is>
      </c>
      <c r="B6" t="inlineStr">
        <is>
          <t>Gas cap / stop ends, drain hoses</t>
        </is>
      </c>
      <c r="C6" t="n">
        <v>1</v>
      </c>
      <c r="D6" t="inlineStr">
        <is>
          <t>lot</t>
        </is>
      </c>
      <c r="E6" s="14" t="n">
        <v>25</v>
      </c>
      <c r="F6" s="11">
        <f>C6*E6</f>
        <v/>
      </c>
    </row>
    <row r="7">
      <c r="A7" t="inlineStr">
        <is>
          <t>3</t>
        </is>
      </c>
      <c r="B7" t="inlineStr">
        <is>
          <t>18mm WBP plywood 2440x1220</t>
        </is>
      </c>
      <c r="C7" t="n">
        <v>2</v>
      </c>
      <c r="D7" t="inlineStr">
        <is>
          <t>sht</t>
        </is>
      </c>
      <c r="E7" s="14" t="n">
        <v>45</v>
      </c>
      <c r="F7" s="11">
        <f>C7*E7</f>
        <v/>
      </c>
    </row>
    <row r="8">
      <c r="A8" t="inlineStr">
        <is>
          <t>3</t>
        </is>
      </c>
      <c r="B8" t="inlineStr">
        <is>
          <t>Fixings / plugs</t>
        </is>
      </c>
      <c r="C8" t="n">
        <v>1</v>
      </c>
      <c r="D8" t="inlineStr">
        <is>
          <t>lot</t>
        </is>
      </c>
      <c r="E8" s="14" t="n">
        <v>20</v>
      </c>
      <c r="F8" s="11">
        <f>C8*E8</f>
        <v/>
      </c>
    </row>
    <row r="9">
      <c r="A9" t="inlineStr">
        <is>
          <t>4</t>
        </is>
      </c>
      <c r="B9" t="inlineStr">
        <is>
          <t>Worcester Bosch Greenstar 8000 Life 35kW system boiler</t>
        </is>
      </c>
      <c r="C9" t="n">
        <v>2</v>
      </c>
      <c r="D9" t="inlineStr">
        <is>
          <t>no</t>
        </is>
      </c>
      <c r="E9" s="14" t="n">
        <v>2400</v>
      </c>
      <c r="F9" s="11">
        <f>C9*E9</f>
        <v/>
      </c>
    </row>
    <row r="10">
      <c r="A10" t="inlineStr">
        <is>
          <t>4</t>
        </is>
      </c>
      <c r="B10" t="inlineStr">
        <is>
          <t>Flue kit (horizontal)</t>
        </is>
      </c>
      <c r="C10" t="n">
        <v>2</v>
      </c>
      <c r="D10" t="inlineStr">
        <is>
          <t>no</t>
        </is>
      </c>
      <c r="E10" s="14" t="n">
        <v>150</v>
      </c>
      <c r="F10" s="11">
        <f>C10*E10</f>
        <v/>
      </c>
    </row>
    <row r="11">
      <c r="A11" t="inlineStr">
        <is>
          <t>4</t>
        </is>
      </c>
      <c r="B11" t="inlineStr">
        <is>
          <t>Flue extension allowance</t>
        </is>
      </c>
      <c r="C11" t="n">
        <v>1</v>
      </c>
      <c r="D11" t="inlineStr">
        <is>
          <t>item</t>
        </is>
      </c>
      <c r="E11" s="14" t="n">
        <v>150</v>
      </c>
      <c r="F11" s="11">
        <f>C11*E11</f>
        <v/>
      </c>
    </row>
    <row r="12">
      <c r="A12" t="inlineStr">
        <is>
          <t>5</t>
        </is>
      </c>
      <c r="B12" t="inlineStr">
        <is>
          <t>Magnetic filter 28mm (Worcester Greenstar System Filter / MagnaClean)</t>
        </is>
      </c>
      <c r="C12" t="n">
        <v>2</v>
      </c>
      <c r="D12" t="inlineStr">
        <is>
          <t>no</t>
        </is>
      </c>
      <c r="E12" s="14" t="n">
        <v>120</v>
      </c>
      <c r="F12" s="11">
        <f>C12*E12</f>
        <v/>
      </c>
    </row>
    <row r="13">
      <c r="A13" t="inlineStr">
        <is>
          <t>5</t>
        </is>
      </c>
      <c r="B13" t="inlineStr">
        <is>
          <t>Copper tube &amp; fittings 28/35mm (primary)</t>
        </is>
      </c>
      <c r="C13" t="n">
        <v>1</v>
      </c>
      <c r="D13" t="inlineStr">
        <is>
          <t>lot</t>
        </is>
      </c>
      <c r="E13" s="14" t="n">
        <v>600</v>
      </c>
      <c r="F13" s="11">
        <f>C13*E13</f>
        <v/>
      </c>
    </row>
    <row r="14">
      <c r="A14" t="inlineStr">
        <is>
          <t>5</t>
        </is>
      </c>
      <c r="B14" t="inlineStr">
        <is>
          <t>Isolation valves, drain-offs, AAVs, gauges, NRVs</t>
        </is>
      </c>
      <c r="C14" t="n">
        <v>1</v>
      </c>
      <c r="D14" t="inlineStr">
        <is>
          <t>lot</t>
        </is>
      </c>
      <c r="E14" s="14" t="n">
        <v>300</v>
      </c>
      <c r="F14" s="11">
        <f>C14*E14</f>
        <v/>
      </c>
    </row>
    <row r="15">
      <c r="A15" t="inlineStr">
        <is>
          <t>5</t>
        </is>
      </c>
      <c r="B15" t="inlineStr">
        <is>
          <t>Expansion vessel + filling loop for sealed primary</t>
        </is>
      </c>
      <c r="C15" t="n">
        <v>1</v>
      </c>
      <c r="D15" t="inlineStr">
        <is>
          <t>item</t>
        </is>
      </c>
      <c r="E15" s="14" t="n">
        <v>120</v>
      </c>
      <c r="F15" s="11">
        <f>C15*E15</f>
        <v/>
      </c>
    </row>
    <row r="16">
      <c r="A16" t="inlineStr">
        <is>
          <t>6</t>
        </is>
      </c>
      <c r="B16" t="inlineStr">
        <is>
          <t>Worcester Bosch plate heat exchanger kit (sized ~70kW)</t>
        </is>
      </c>
      <c r="C16" t="n">
        <v>1</v>
      </c>
      <c r="D16" t="inlineStr">
        <is>
          <t>no</t>
        </is>
      </c>
      <c r="E16" s="14" t="n">
        <v>1200</v>
      </c>
      <c r="F16" s="11">
        <f>C16*E16</f>
        <v/>
      </c>
    </row>
    <row r="17">
      <c r="A17" t="inlineStr">
        <is>
          <t>6</t>
        </is>
      </c>
      <c r="B17" t="inlineStr">
        <is>
          <t>Secondary circulating pump (Grundfos Magna1 or equal) + valves</t>
        </is>
      </c>
      <c r="C17" t="n">
        <v>1</v>
      </c>
      <c r="D17" t="inlineStr">
        <is>
          <t>no</t>
        </is>
      </c>
      <c r="E17" s="14" t="n">
        <v>550</v>
      </c>
      <c r="F17" s="11">
        <f>C17*E17</f>
        <v/>
      </c>
    </row>
    <row r="18">
      <c r="A18" t="inlineStr">
        <is>
          <t>6</t>
        </is>
      </c>
      <c r="B18" t="inlineStr">
        <is>
          <t>Copper tube &amp; fittings 28/35mm (secondary)</t>
        </is>
      </c>
      <c r="C18" t="n">
        <v>1</v>
      </c>
      <c r="D18" t="inlineStr">
        <is>
          <t>lot</t>
        </is>
      </c>
      <c r="E18" s="14" t="n">
        <v>300</v>
      </c>
      <c r="F18" s="11">
        <f>C18*E18</f>
        <v/>
      </c>
    </row>
    <row r="19">
      <c r="A19" t="inlineStr">
        <is>
          <t>7</t>
        </is>
      </c>
      <c r="B19" t="inlineStr">
        <is>
          <t>Gas pipe &amp; fittings, gas isolation valves</t>
        </is>
      </c>
      <c r="C19" t="n">
        <v>1</v>
      </c>
      <c r="D19" t="inlineStr">
        <is>
          <t>lot</t>
        </is>
      </c>
      <c r="E19" s="14" t="n">
        <v>250</v>
      </c>
      <c r="F19" s="11">
        <f>C19*E19</f>
        <v/>
      </c>
    </row>
    <row r="20">
      <c r="A20" t="inlineStr">
        <is>
          <t>8</t>
        </is>
      </c>
      <c r="B20" t="inlineStr">
        <is>
          <t>Condensate pipe, fittings &amp; clips</t>
        </is>
      </c>
      <c r="C20" t="n">
        <v>1</v>
      </c>
      <c r="D20" t="inlineStr">
        <is>
          <t>lot</t>
        </is>
      </c>
      <c r="E20" s="14" t="n">
        <v>60</v>
      </c>
      <c r="F20" s="11">
        <f>C20*E20</f>
        <v/>
      </c>
    </row>
    <row r="21">
      <c r="A21" t="inlineStr">
        <is>
          <t>9</t>
        </is>
      </c>
      <c r="B21" t="inlineStr">
        <is>
          <t>Pipe insulation (Armaflex / Class O) &amp; tape</t>
        </is>
      </c>
      <c r="C21" t="n">
        <v>1</v>
      </c>
      <c r="D21" t="inlineStr">
        <is>
          <t>lot</t>
        </is>
      </c>
      <c r="E21" s="14" t="n">
        <v>250</v>
      </c>
      <c r="F21" s="11">
        <f>C21*E21</f>
        <v/>
      </c>
    </row>
    <row r="22">
      <c r="A22" t="inlineStr">
        <is>
          <t>10</t>
        </is>
      </c>
      <c r="B22" t="inlineStr">
        <is>
          <t>Fernox F3 cleaner + F1 inhibitor</t>
        </is>
      </c>
      <c r="C22" t="n">
        <v>1</v>
      </c>
      <c r="D22" t="inlineStr">
        <is>
          <t>lot</t>
        </is>
      </c>
      <c r="E22" s="14" t="n">
        <v>120</v>
      </c>
      <c r="F22" s="11">
        <f>C22*E22</f>
        <v/>
      </c>
    </row>
    <row r="23">
      <c r="B23" s="2" t="inlineStr">
        <is>
          <t>TOTAL MATERIALS (net)</t>
        </is>
      </c>
      <c r="F23" s="10">
        <f>SUM(F4:F22)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2026-10-29T18:52:51Z</dcterms:created>
  <dcterms:modified xmlns:dcterms="http://purl.org/dc/terms/" xmlns:xsi="http://www.w3.org/2001/XMLSchema-instance" xsi:type="dcterms:W3CDTF">2026-10-29T18:52:51Z</dcterms:modified>
</cp:coreProperties>
</file>
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sheet" sheetId="1" state="visible" r:id="rId3"/>
    <sheet name="Example" sheetId="2" state="visible" r:id="rId4"/>
  </sheets>
  <definedNames>
    <definedName function="false" hidden="false" localSheetId="1" name="_xlnm.Print_Area" vbProcedure="false">Example!$A$1:$I$54</definedName>
    <definedName function="false" hidden="false" localSheetId="0" name="_xlnm.Print_Area" vbProcedure="false">Timesheet!$A$1:$I$54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Contracted weekday hours before overtime. 40 assumed - change to suit the employee's contract.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4" authorId="0">
      <text>
        <r>
          <rPr>
            <sz val="10"/>
            <rFont val="Arial"/>
            <family val="2"/>
          </rPr>
          <t xml:space="preserve">Contracted weekday hours before overtime. 40 assumed - change to suit the employee's contract.</t>
        </r>
      </text>
    </comment>
  </commentList>
</comments>
</file>

<file path=xl/sharedStrings.xml><?xml version="1.0" encoding="utf-8"?>
<sst xmlns="http://schemas.openxmlformats.org/spreadsheetml/2006/main" count="89" uniqueCount="46">
  <si>
    <t xml:space="preserve">HANNAH PLUMBING &amp; HEATING LTD - WEEKLY TIMESHEET</t>
  </si>
  <si>
    <t xml:space="preserve">Yellow cells are for the employee to fill in. Enter times as 24hr (e.g. 08:00, 16:30) and unpaid break in minutes. Hours are worked out automatically. Leave a day blank if not worked.</t>
  </si>
  <si>
    <t xml:space="preserve">Employee name</t>
  </si>
  <si>
    <t xml:space="preserve">Standard weekly hours</t>
  </si>
  <si>
    <t xml:space="preserve">Employee / payroll no.</t>
  </si>
  <si>
    <t xml:space="preserve">Vehicle reg (if van)</t>
  </si>
  <si>
    <t xml:space="preserve">Week commencing (Monday)</t>
  </si>
  <si>
    <t xml:space="preserve">Week ending (Sunday)</t>
  </si>
  <si>
    <t xml:space="preserve">Day</t>
  </si>
  <si>
    <t xml:space="preserve">Date</t>
  </si>
  <si>
    <t xml:space="preserve">Job / site address</t>
  </si>
  <si>
    <t xml:space="preserve">Start</t>
  </si>
  <si>
    <t xml:space="preserve">Finish</t>
  </si>
  <si>
    <t xml:space="preserve">Break (mins)</t>
  </si>
  <si>
    <t xml:space="preserve">Hours</t>
  </si>
  <si>
    <t xml:space="preserve">Day total</t>
  </si>
  <si>
    <t xml:space="preserve">Notes (travel, holiday, sick etc.)</t>
  </si>
  <si>
    <t xml:space="preserve">MONDAY - FRIDAY</t>
  </si>
  <si>
    <t xml:space="preserve">Monday</t>
  </si>
  <si>
    <t xml:space="preserve">Tuesday</t>
  </si>
  <si>
    <t xml:space="preserve">Wednesday</t>
  </si>
  <si>
    <t xml:space="preserve">Thursday</t>
  </si>
  <si>
    <t xml:space="preserve">Friday</t>
  </si>
  <si>
    <t xml:space="preserve">Total Monday - Friday hours</t>
  </si>
  <si>
    <t xml:space="preserve">WEEKEND</t>
  </si>
  <si>
    <t xml:space="preserve">Saturday</t>
  </si>
  <si>
    <t xml:space="preserve">Sunday</t>
  </si>
  <si>
    <t xml:space="preserve">Total weekend hours</t>
  </si>
  <si>
    <t xml:space="preserve">WEEKLY SUMMARY</t>
  </si>
  <si>
    <t xml:space="preserve">Mon - Fri hours (up to standard)</t>
  </si>
  <si>
    <t xml:space="preserve">Mon - Fri overtime (over standard hours)</t>
  </si>
  <si>
    <t xml:space="preserve">Weekend hours</t>
  </si>
  <si>
    <t xml:space="preserve">TOTAL HOURS FOR WEEK</t>
  </si>
  <si>
    <t xml:space="preserve">Employee signature</t>
  </si>
  <si>
    <t xml:space="preserve">Approved by (manager)</t>
  </si>
  <si>
    <t xml:space="preserve">I confirm the hours above are a true record of time worked.</t>
  </si>
  <si>
    <t xml:space="preserve">Example: J. Smith</t>
  </si>
  <si>
    <t xml:space="preserve">014</t>
  </si>
  <si>
    <t xml:space="preserve">SV71 ABC</t>
  </si>
  <si>
    <t xml:space="preserve">Life Church, Paisley - 1st fix</t>
  </si>
  <si>
    <t xml:space="preserve">Boiler service - 12 High St</t>
  </si>
  <si>
    <t xml:space="preserve">Pivot Centre - plant room</t>
  </si>
  <si>
    <t xml:space="preserve">30 mins travel included</t>
  </si>
  <si>
    <t xml:space="preserve">Holiday</t>
  </si>
  <si>
    <t xml:space="preserve">Boiler breakdown - call-out</t>
  </si>
  <si>
    <t xml:space="preserve">Emergency call-out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</si>
</sst>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dd/mm/yyyy"/>
    <numFmt numFmtId="167" formatCode="ddd\ dd/mm"/>
    <numFmt numFmtId="168" formatCode="hh:mm"/>
    <numFmt numFmtId="169" formatCode="0"/>
    <numFmt numFmtId="170" formatCode="0.00;\-0.00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6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4"/>
      <c r="E4" s="3" t="s">
        <v>3</v>
      </c>
      <c r="F4" s="3"/>
      <c r="G4" s="5" t="n">
        <v>40</v>
      </c>
    </row>
    <row r="5" customFormat="false" ht="15" hidden="false" customHeight="false" outlineLevel="0" collapsed="false">
      <c r="A5" s="3" t="s">
        <v>4</v>
      </c>
      <c r="B5" s="3"/>
      <c r="C5" s="4"/>
      <c r="E5" s="3" t="s">
        <v>5</v>
      </c>
      <c r="F5" s="3"/>
      <c r="G5" s="4"/>
    </row>
    <row r="6" customFormat="false" ht="15" hidden="false" customHeight="false" outlineLevel="0" collapsed="false">
      <c r="A6" s="3" t="s">
        <v>6</v>
      </c>
      <c r="B6" s="3"/>
      <c r="C6" s="6"/>
      <c r="E6" s="3" t="s">
        <v>7</v>
      </c>
      <c r="F6" s="3"/>
      <c r="G6" s="7" t="str">
        <f aca="false">IF(C6="","",C6+6)</f>
        <v/>
      </c>
    </row>
    <row r="8" customFormat="false" ht="27.75" hidden="false" customHeight="true" outlineLevel="0" collapsed="false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</row>
    <row r="9" customFormat="false" ht="15" hidden="false" customHeight="false" outlineLevel="0" collapsed="false">
      <c r="A9" s="9" t="s">
        <v>17</v>
      </c>
      <c r="B9" s="10"/>
      <c r="C9" s="10"/>
      <c r="D9" s="10"/>
      <c r="E9" s="10"/>
      <c r="F9" s="10"/>
      <c r="G9" s="10"/>
      <c r="H9" s="10"/>
      <c r="I9" s="10"/>
    </row>
    <row r="10" customFormat="false" ht="18" hidden="false" customHeight="true" outlineLevel="0" collapsed="false">
      <c r="A10" s="11" t="s">
        <v>18</v>
      </c>
      <c r="B10" s="12" t="str">
        <f aca="false">IF($C$6="","",$C$6+0)</f>
        <v/>
      </c>
      <c r="C10" s="4"/>
      <c r="D10" s="13"/>
      <c r="E10" s="13"/>
      <c r="F10" s="14"/>
      <c r="G10" s="15" t="n">
        <f aca="false">IF(OR(D10="",E10=""),0,MAX(0,MOD(E10-D10,1)*24-N(F10)/60))</f>
        <v>0</v>
      </c>
      <c r="H10" s="16" t="n">
        <f aca="false">SUM(G10:G13)</f>
        <v>0</v>
      </c>
      <c r="I10" s="4"/>
    </row>
    <row r="11" customFormat="false" ht="18" hidden="false" customHeight="true" outlineLevel="0" collapsed="false">
      <c r="A11" s="11"/>
      <c r="B11" s="11"/>
      <c r="C11" s="4"/>
      <c r="D11" s="13"/>
      <c r="E11" s="13"/>
      <c r="F11" s="14"/>
      <c r="G11" s="15" t="n">
        <f aca="false">IF(OR(D11="",E11=""),0,MAX(0,MOD(E11-D11,1)*24-N(F11)/60))</f>
        <v>0</v>
      </c>
      <c r="H11" s="16"/>
      <c r="I11" s="4"/>
    </row>
    <row r="12" customFormat="false" ht="18" hidden="false" customHeight="true" outlineLevel="0" collapsed="false">
      <c r="A12" s="11"/>
      <c r="B12" s="11"/>
      <c r="C12" s="4"/>
      <c r="D12" s="13"/>
      <c r="E12" s="13"/>
      <c r="F12" s="14"/>
      <c r="G12" s="15" t="n">
        <f aca="false">IF(OR(D12="",E12=""),0,MAX(0,MOD(E12-D12,1)*24-N(F12)/60))</f>
        <v>0</v>
      </c>
      <c r="H12" s="16"/>
      <c r="I12" s="4"/>
    </row>
    <row r="13" customFormat="false" ht="18" hidden="false" customHeight="true" outlineLevel="0" collapsed="false">
      <c r="A13" s="11"/>
      <c r="B13" s="11"/>
      <c r="C13" s="4"/>
      <c r="D13" s="13"/>
      <c r="E13" s="13"/>
      <c r="F13" s="14"/>
      <c r="G13" s="15" t="n">
        <f aca="false">IF(OR(D13="",E13=""),0,MAX(0,MOD(E13-D13,1)*24-N(F13)/60))</f>
        <v>0</v>
      </c>
      <c r="H13" s="16"/>
      <c r="I13" s="4"/>
    </row>
    <row r="14" customFormat="false" ht="18" hidden="false" customHeight="true" outlineLevel="0" collapsed="false">
      <c r="A14" s="11" t="s">
        <v>19</v>
      </c>
      <c r="B14" s="12" t="str">
        <f aca="false">IF($C$6="","",$C$6+1)</f>
        <v/>
      </c>
      <c r="C14" s="4"/>
      <c r="D14" s="13"/>
      <c r="E14" s="13"/>
      <c r="F14" s="14"/>
      <c r="G14" s="15" t="n">
        <f aca="false">IF(OR(D14="",E14=""),0,MAX(0,MOD(E14-D14,1)*24-N(F14)/60))</f>
        <v>0</v>
      </c>
      <c r="H14" s="16" t="n">
        <f aca="false">SUM(G14:G17)</f>
        <v>0</v>
      </c>
      <c r="I14" s="4"/>
    </row>
    <row r="15" customFormat="false" ht="18" hidden="false" customHeight="true" outlineLevel="0" collapsed="false">
      <c r="A15" s="11"/>
      <c r="B15" s="11"/>
      <c r="C15" s="4"/>
      <c r="D15" s="13"/>
      <c r="E15" s="13"/>
      <c r="F15" s="14"/>
      <c r="G15" s="15" t="n">
        <f aca="false">IF(OR(D15="",E15=""),0,MAX(0,MOD(E15-D15,1)*24-N(F15)/60))</f>
        <v>0</v>
      </c>
      <c r="H15" s="16"/>
      <c r="I15" s="4"/>
    </row>
    <row r="16" customFormat="false" ht="18" hidden="false" customHeight="true" outlineLevel="0" collapsed="false">
      <c r="A16" s="11"/>
      <c r="B16" s="11"/>
      <c r="C16" s="4"/>
      <c r="D16" s="13"/>
      <c r="E16" s="13"/>
      <c r="F16" s="14"/>
      <c r="G16" s="15" t="n">
        <f aca="false">IF(OR(D16="",E16=""),0,MAX(0,MOD(E16-D16,1)*24-N(F16)/60))</f>
        <v>0</v>
      </c>
      <c r="H16" s="16"/>
      <c r="I16" s="4"/>
    </row>
    <row r="17" customFormat="false" ht="18" hidden="false" customHeight="true" outlineLevel="0" collapsed="false">
      <c r="A17" s="11"/>
      <c r="B17" s="11"/>
      <c r="C17" s="4"/>
      <c r="D17" s="13"/>
      <c r="E17" s="13"/>
      <c r="F17" s="14"/>
      <c r="G17" s="15" t="n">
        <f aca="false">IF(OR(D17="",E17=""),0,MAX(0,MOD(E17-D17,1)*24-N(F17)/60))</f>
        <v>0</v>
      </c>
      <c r="H17" s="16"/>
      <c r="I17" s="4"/>
    </row>
    <row r="18" customFormat="false" ht="18" hidden="false" customHeight="true" outlineLevel="0" collapsed="false">
      <c r="A18" s="11" t="s">
        <v>20</v>
      </c>
      <c r="B18" s="12" t="str">
        <f aca="false">IF($C$6="","",$C$6+2)</f>
        <v/>
      </c>
      <c r="C18" s="4"/>
      <c r="D18" s="13"/>
      <c r="E18" s="13"/>
      <c r="F18" s="14"/>
      <c r="G18" s="15" t="n">
        <f aca="false">IF(OR(D18="",E18=""),0,MAX(0,MOD(E18-D18,1)*24-N(F18)/60))</f>
        <v>0</v>
      </c>
      <c r="H18" s="16" t="n">
        <f aca="false">SUM(G18:G21)</f>
        <v>0</v>
      </c>
      <c r="I18" s="4"/>
    </row>
    <row r="19" customFormat="false" ht="18" hidden="false" customHeight="true" outlineLevel="0" collapsed="false">
      <c r="A19" s="11"/>
      <c r="B19" s="11"/>
      <c r="C19" s="4"/>
      <c r="D19" s="13"/>
      <c r="E19" s="13"/>
      <c r="F19" s="14"/>
      <c r="G19" s="15" t="n">
        <f aca="false">IF(OR(D19="",E19=""),0,MAX(0,MOD(E19-D19,1)*24-N(F19)/60))</f>
        <v>0</v>
      </c>
      <c r="H19" s="16"/>
      <c r="I19" s="4"/>
    </row>
    <row r="20" customFormat="false" ht="18" hidden="false" customHeight="true" outlineLevel="0" collapsed="false">
      <c r="A20" s="11"/>
      <c r="B20" s="11"/>
      <c r="C20" s="4"/>
      <c r="D20" s="13"/>
      <c r="E20" s="13"/>
      <c r="F20" s="14"/>
      <c r="G20" s="15" t="n">
        <f aca="false">IF(OR(D20="",E20=""),0,MAX(0,MOD(E20-D20,1)*24-N(F20)/60))</f>
        <v>0</v>
      </c>
      <c r="H20" s="16"/>
      <c r="I20" s="4"/>
    </row>
    <row r="21" customFormat="false" ht="18" hidden="false" customHeight="true" outlineLevel="0" collapsed="false">
      <c r="A21" s="11"/>
      <c r="B21" s="11"/>
      <c r="C21" s="4"/>
      <c r="D21" s="13"/>
      <c r="E21" s="13"/>
      <c r="F21" s="14"/>
      <c r="G21" s="15" t="n">
        <f aca="false">IF(OR(D21="",E21=""),0,MAX(0,MOD(E21-D21,1)*24-N(F21)/60))</f>
        <v>0</v>
      </c>
      <c r="H21" s="16"/>
      <c r="I21" s="4"/>
    </row>
    <row r="22" customFormat="false" ht="18" hidden="false" customHeight="true" outlineLevel="0" collapsed="false">
      <c r="A22" s="11" t="s">
        <v>21</v>
      </c>
      <c r="B22" s="12" t="str">
        <f aca="false">IF($C$6="","",$C$6+3)</f>
        <v/>
      </c>
      <c r="C22" s="4"/>
      <c r="D22" s="13"/>
      <c r="E22" s="13"/>
      <c r="F22" s="14"/>
      <c r="G22" s="15" t="n">
        <f aca="false">IF(OR(D22="",E22=""),0,MAX(0,MOD(E22-D22,1)*24-N(F22)/60))</f>
        <v>0</v>
      </c>
      <c r="H22" s="16" t="n">
        <f aca="false">SUM(G22:G25)</f>
        <v>0</v>
      </c>
      <c r="I22" s="4"/>
    </row>
    <row r="23" customFormat="false" ht="18" hidden="false" customHeight="true" outlineLevel="0" collapsed="false">
      <c r="A23" s="11"/>
      <c r="B23" s="11"/>
      <c r="C23" s="4"/>
      <c r="D23" s="13"/>
      <c r="E23" s="13"/>
      <c r="F23" s="14"/>
      <c r="G23" s="15" t="n">
        <f aca="false">IF(OR(D23="",E23=""),0,MAX(0,MOD(E23-D23,1)*24-N(F23)/60))</f>
        <v>0</v>
      </c>
      <c r="H23" s="16"/>
      <c r="I23" s="4"/>
    </row>
    <row r="24" customFormat="false" ht="18" hidden="false" customHeight="true" outlineLevel="0" collapsed="false">
      <c r="A24" s="11"/>
      <c r="B24" s="11"/>
      <c r="C24" s="4"/>
      <c r="D24" s="13"/>
      <c r="E24" s="13"/>
      <c r="F24" s="14"/>
      <c r="G24" s="15" t="n">
        <f aca="false">IF(OR(D24="",E24=""),0,MAX(0,MOD(E24-D24,1)*24-N(F24)/60))</f>
        <v>0</v>
      </c>
      <c r="H24" s="16"/>
      <c r="I24" s="4"/>
    </row>
    <row r="25" customFormat="false" ht="18" hidden="false" customHeight="true" outlineLevel="0" collapsed="false">
      <c r="A25" s="11"/>
      <c r="B25" s="11"/>
      <c r="C25" s="4"/>
      <c r="D25" s="13"/>
      <c r="E25" s="13"/>
      <c r="F25" s="14"/>
      <c r="G25" s="15" t="n">
        <f aca="false">IF(OR(D25="",E25=""),0,MAX(0,MOD(E25-D25,1)*24-N(F25)/60))</f>
        <v>0</v>
      </c>
      <c r="H25" s="16"/>
      <c r="I25" s="4"/>
    </row>
    <row r="26" customFormat="false" ht="18" hidden="false" customHeight="true" outlineLevel="0" collapsed="false">
      <c r="A26" s="11" t="s">
        <v>22</v>
      </c>
      <c r="B26" s="12" t="str">
        <f aca="false">IF($C$6="","",$C$6+4)</f>
        <v/>
      </c>
      <c r="C26" s="4"/>
      <c r="D26" s="13"/>
      <c r="E26" s="13"/>
      <c r="F26" s="14"/>
      <c r="G26" s="15" t="n">
        <f aca="false">IF(OR(D26="",E26=""),0,MAX(0,MOD(E26-D26,1)*24-N(F26)/60))</f>
        <v>0</v>
      </c>
      <c r="H26" s="16" t="n">
        <f aca="false">SUM(G26:G29)</f>
        <v>0</v>
      </c>
      <c r="I26" s="4"/>
    </row>
    <row r="27" customFormat="false" ht="18" hidden="false" customHeight="true" outlineLevel="0" collapsed="false">
      <c r="A27" s="11"/>
      <c r="B27" s="11"/>
      <c r="C27" s="4"/>
      <c r="D27" s="13"/>
      <c r="E27" s="13"/>
      <c r="F27" s="14"/>
      <c r="G27" s="15" t="n">
        <f aca="false">IF(OR(D27="",E27=""),0,MAX(0,MOD(E27-D27,1)*24-N(F27)/60))</f>
        <v>0</v>
      </c>
      <c r="H27" s="16"/>
      <c r="I27" s="4"/>
    </row>
    <row r="28" customFormat="false" ht="18" hidden="false" customHeight="true" outlineLevel="0" collapsed="false">
      <c r="A28" s="11"/>
      <c r="B28" s="11"/>
      <c r="C28" s="4"/>
      <c r="D28" s="13"/>
      <c r="E28" s="13"/>
      <c r="F28" s="14"/>
      <c r="G28" s="15" t="n">
        <f aca="false">IF(OR(D28="",E28=""),0,MAX(0,MOD(E28-D28,1)*24-N(F28)/60))</f>
        <v>0</v>
      </c>
      <c r="H28" s="16"/>
      <c r="I28" s="4"/>
    </row>
    <row r="29" customFormat="false" ht="18" hidden="false" customHeight="true" outlineLevel="0" collapsed="false">
      <c r="A29" s="11"/>
      <c r="B29" s="11"/>
      <c r="C29" s="4"/>
      <c r="D29" s="13"/>
      <c r="E29" s="13"/>
      <c r="F29" s="14"/>
      <c r="G29" s="15" t="n">
        <f aca="false">IF(OR(D29="",E29=""),0,MAX(0,MOD(E29-D29,1)*24-N(F29)/60))</f>
        <v>0</v>
      </c>
      <c r="H29" s="16"/>
      <c r="I29" s="4"/>
    </row>
    <row r="30" customFormat="false" ht="15" hidden="false" customHeight="false" outlineLevel="0" collapsed="false">
      <c r="A30" s="17" t="s">
        <v>23</v>
      </c>
      <c r="B30" s="17"/>
      <c r="C30" s="17"/>
      <c r="D30" s="17"/>
      <c r="E30" s="17"/>
      <c r="F30" s="17"/>
      <c r="G30" s="17"/>
      <c r="H30" s="18" t="n">
        <f aca="false">SUM(G10:G29)</f>
        <v>0</v>
      </c>
      <c r="I30" s="19"/>
    </row>
    <row r="32" customFormat="false" ht="15" hidden="false" customHeight="false" outlineLevel="0" collapsed="false">
      <c r="A32" s="9" t="s">
        <v>24</v>
      </c>
      <c r="B32" s="10"/>
      <c r="C32" s="10"/>
      <c r="D32" s="10"/>
      <c r="E32" s="10"/>
      <c r="F32" s="10"/>
      <c r="G32" s="10"/>
      <c r="H32" s="10"/>
      <c r="I32" s="10"/>
    </row>
    <row r="33" customFormat="false" ht="18" hidden="false" customHeight="true" outlineLevel="0" collapsed="false">
      <c r="A33" s="11" t="s">
        <v>25</v>
      </c>
      <c r="B33" s="12" t="str">
        <f aca="false">IF($C$6="","",$C$6+5)</f>
        <v/>
      </c>
      <c r="C33" s="4"/>
      <c r="D33" s="13"/>
      <c r="E33" s="13"/>
      <c r="F33" s="14"/>
      <c r="G33" s="15" t="n">
        <f aca="false">IF(OR(D33="",E33=""),0,MAX(0,MOD(E33-D33,1)*24-N(F33)/60))</f>
        <v>0</v>
      </c>
      <c r="H33" s="16" t="n">
        <f aca="false">SUM(G33:G36)</f>
        <v>0</v>
      </c>
      <c r="I33" s="4"/>
    </row>
    <row r="34" customFormat="false" ht="18" hidden="false" customHeight="true" outlineLevel="0" collapsed="false">
      <c r="A34" s="11"/>
      <c r="B34" s="11"/>
      <c r="C34" s="4"/>
      <c r="D34" s="13"/>
      <c r="E34" s="13"/>
      <c r="F34" s="14"/>
      <c r="G34" s="15" t="n">
        <f aca="false">IF(OR(D34="",E34=""),0,MAX(0,MOD(E34-D34,1)*24-N(F34)/60))</f>
        <v>0</v>
      </c>
      <c r="H34" s="16"/>
      <c r="I34" s="4"/>
    </row>
    <row r="35" customFormat="false" ht="18" hidden="false" customHeight="true" outlineLevel="0" collapsed="false">
      <c r="A35" s="11"/>
      <c r="B35" s="11"/>
      <c r="C35" s="4"/>
      <c r="D35" s="13"/>
      <c r="E35" s="13"/>
      <c r="F35" s="14"/>
      <c r="G35" s="15" t="n">
        <f aca="false">IF(OR(D35="",E35=""),0,MAX(0,MOD(E35-D35,1)*24-N(F35)/60))</f>
        <v>0</v>
      </c>
      <c r="H35" s="16"/>
      <c r="I35" s="4"/>
    </row>
    <row r="36" customFormat="false" ht="18" hidden="false" customHeight="true" outlineLevel="0" collapsed="false">
      <c r="A36" s="11"/>
      <c r="B36" s="11"/>
      <c r="C36" s="4"/>
      <c r="D36" s="13"/>
      <c r="E36" s="13"/>
      <c r="F36" s="14"/>
      <c r="G36" s="15" t="n">
        <f aca="false">IF(OR(D36="",E36=""),0,MAX(0,MOD(E36-D36,1)*24-N(F36)/60))</f>
        <v>0</v>
      </c>
      <c r="H36" s="16"/>
      <c r="I36" s="4"/>
    </row>
    <row r="37" customFormat="false" ht="18" hidden="false" customHeight="true" outlineLevel="0" collapsed="false">
      <c r="A37" s="11" t="s">
        <v>26</v>
      </c>
      <c r="B37" s="12" t="str">
        <f aca="false">IF($C$6="","",$C$6+6)</f>
        <v/>
      </c>
      <c r="C37" s="4"/>
      <c r="D37" s="13"/>
      <c r="E37" s="13"/>
      <c r="F37" s="14"/>
      <c r="G37" s="15" t="n">
        <f aca="false">IF(OR(D37="",E37=""),0,MAX(0,MOD(E37-D37,1)*24-N(F37)/60))</f>
        <v>0</v>
      </c>
      <c r="H37" s="16" t="n">
        <f aca="false">SUM(G37:G40)</f>
        <v>0</v>
      </c>
      <c r="I37" s="4"/>
    </row>
    <row r="38" customFormat="false" ht="18" hidden="false" customHeight="true" outlineLevel="0" collapsed="false">
      <c r="A38" s="11"/>
      <c r="B38" s="11"/>
      <c r="C38" s="4"/>
      <c r="D38" s="13"/>
      <c r="E38" s="13"/>
      <c r="F38" s="14"/>
      <c r="G38" s="15" t="n">
        <f aca="false">IF(OR(D38="",E38=""),0,MAX(0,MOD(E38-D38,1)*24-N(F38)/60))</f>
        <v>0</v>
      </c>
      <c r="H38" s="16"/>
      <c r="I38" s="4"/>
    </row>
    <row r="39" customFormat="false" ht="18" hidden="false" customHeight="true" outlineLevel="0" collapsed="false">
      <c r="A39" s="11"/>
      <c r="B39" s="11"/>
      <c r="C39" s="4"/>
      <c r="D39" s="13"/>
      <c r="E39" s="13"/>
      <c r="F39" s="14"/>
      <c r="G39" s="15" t="n">
        <f aca="false">IF(OR(D39="",E39=""),0,MAX(0,MOD(E39-D39,1)*24-N(F39)/60))</f>
        <v>0</v>
      </c>
      <c r="H39" s="16"/>
      <c r="I39" s="4"/>
    </row>
    <row r="40" customFormat="false" ht="18" hidden="false" customHeight="true" outlineLevel="0" collapsed="false">
      <c r="A40" s="11"/>
      <c r="B40" s="11"/>
      <c r="C40" s="4"/>
      <c r="D40" s="13"/>
      <c r="E40" s="13"/>
      <c r="F40" s="14"/>
      <c r="G40" s="15" t="n">
        <f aca="false">IF(OR(D40="",E40=""),0,MAX(0,MOD(E40-D40,1)*24-N(F40)/60))</f>
        <v>0</v>
      </c>
      <c r="H40" s="16"/>
      <c r="I40" s="4"/>
    </row>
    <row r="41" customFormat="false" ht="15" hidden="false" customHeight="false" outlineLevel="0" collapsed="false">
      <c r="A41" s="17" t="s">
        <v>27</v>
      </c>
      <c r="B41" s="17"/>
      <c r="C41" s="17"/>
      <c r="D41" s="17"/>
      <c r="E41" s="17"/>
      <c r="F41" s="17"/>
      <c r="G41" s="17"/>
      <c r="H41" s="18" t="n">
        <f aca="false">SUM(G33:G40)</f>
        <v>0</v>
      </c>
      <c r="I41" s="19"/>
    </row>
    <row r="43" customFormat="false" ht="15" hidden="false" customHeight="false" outlineLevel="0" collapsed="false">
      <c r="A43" s="20" t="s">
        <v>28</v>
      </c>
    </row>
    <row r="44" customFormat="false" ht="15" hidden="false" customHeight="false" outlineLevel="0" collapsed="false">
      <c r="A44" s="21" t="s">
        <v>29</v>
      </c>
      <c r="B44" s="21"/>
      <c r="C44" s="21"/>
      <c r="D44" s="21"/>
      <c r="E44" s="21"/>
      <c r="F44" s="21"/>
      <c r="G44" s="21"/>
      <c r="H44" s="22" t="n">
        <f aca="false">MIN(H30,G4)</f>
        <v>0</v>
      </c>
    </row>
    <row r="45" customFormat="false" ht="15" hidden="false" customHeight="false" outlineLevel="0" collapsed="false">
      <c r="A45" s="21" t="s">
        <v>30</v>
      </c>
      <c r="B45" s="21"/>
      <c r="C45" s="21"/>
      <c r="D45" s="21"/>
      <c r="E45" s="21"/>
      <c r="F45" s="21"/>
      <c r="G45" s="21"/>
      <c r="H45" s="22" t="n">
        <f aca="false">MAX(0,H30-G4)</f>
        <v>0</v>
      </c>
    </row>
    <row r="46" customFormat="false" ht="15" hidden="false" customHeight="false" outlineLevel="0" collapsed="false">
      <c r="A46" s="21" t="s">
        <v>31</v>
      </c>
      <c r="B46" s="21"/>
      <c r="C46" s="21"/>
      <c r="D46" s="21"/>
      <c r="E46" s="21"/>
      <c r="F46" s="21"/>
      <c r="G46" s="21"/>
      <c r="H46" s="22" t="n">
        <f aca="false">H41</f>
        <v>0</v>
      </c>
    </row>
    <row r="47" customFormat="false" ht="15" hidden="false" customHeight="false" outlineLevel="0" collapsed="false">
      <c r="A47" s="9" t="s">
        <v>32</v>
      </c>
      <c r="B47" s="9"/>
      <c r="C47" s="9"/>
      <c r="D47" s="9"/>
      <c r="E47" s="9"/>
      <c r="F47" s="9"/>
      <c r="G47" s="9"/>
      <c r="H47" s="23" t="n">
        <f aca="false">H30+H41</f>
        <v>0</v>
      </c>
    </row>
    <row r="50" customFormat="false" ht="15" hidden="false" customHeight="false" outlineLevel="0" collapsed="false">
      <c r="A50" s="24" t="s">
        <v>33</v>
      </c>
      <c r="B50" s="25"/>
      <c r="C50" s="25"/>
      <c r="D50" s="25"/>
      <c r="E50" s="24" t="s">
        <v>9</v>
      </c>
      <c r="F50" s="25"/>
      <c r="G50" s="25"/>
      <c r="H50" s="25"/>
    </row>
    <row r="52" customFormat="false" ht="15" hidden="false" customHeight="false" outlineLevel="0" collapsed="false">
      <c r="A52" s="24" t="s">
        <v>34</v>
      </c>
      <c r="B52" s="25"/>
      <c r="C52" s="25"/>
      <c r="D52" s="25"/>
      <c r="E52" s="24" t="s">
        <v>9</v>
      </c>
      <c r="F52" s="25"/>
      <c r="G52" s="25"/>
      <c r="H52" s="25"/>
    </row>
    <row r="54" customFormat="false" ht="15" hidden="false" customHeight="false" outlineLevel="0" collapsed="false">
      <c r="A54" s="26" t="s">
        <v>35</v>
      </c>
    </row>
  </sheetData>
  <mergeCells count="34">
    <mergeCell ref="A2:I2"/>
    <mergeCell ref="A4:B4"/>
    <mergeCell ref="E4:F4"/>
    <mergeCell ref="A5:B5"/>
    <mergeCell ref="E5:F5"/>
    <mergeCell ref="A6:B6"/>
    <mergeCell ref="E6:F6"/>
    <mergeCell ref="A10:A13"/>
    <mergeCell ref="B10:B13"/>
    <mergeCell ref="H10:H13"/>
    <mergeCell ref="A14:A17"/>
    <mergeCell ref="B14:B17"/>
    <mergeCell ref="H14:H17"/>
    <mergeCell ref="A18:A21"/>
    <mergeCell ref="B18:B21"/>
    <mergeCell ref="H18:H21"/>
    <mergeCell ref="A22:A25"/>
    <mergeCell ref="B22:B25"/>
    <mergeCell ref="H22:H25"/>
    <mergeCell ref="A26:A29"/>
    <mergeCell ref="B26:B29"/>
    <mergeCell ref="H26:H29"/>
    <mergeCell ref="A30:G30"/>
    <mergeCell ref="A33:A36"/>
    <mergeCell ref="B33:B36"/>
    <mergeCell ref="H33:H36"/>
    <mergeCell ref="A37:A40"/>
    <mergeCell ref="B37:B40"/>
    <mergeCell ref="H37:H40"/>
    <mergeCell ref="A41:G41"/>
    <mergeCell ref="A44:G44"/>
    <mergeCell ref="A45:G45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5" min="4" style="0" width="10"/>
    <col collapsed="false" customWidth="true" hidden="false" outlineLevel="0" max="7" min="6" style="0" width="11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27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</v>
      </c>
      <c r="B4" s="3"/>
      <c r="C4" s="4" t="s">
        <v>36</v>
      </c>
      <c r="E4" s="3" t="s">
        <v>3</v>
      </c>
      <c r="F4" s="3"/>
      <c r="G4" s="5" t="n">
        <v>40</v>
      </c>
    </row>
    <row r="5" customFormat="false" ht="15" hidden="false" customHeight="false" outlineLevel="0" collapsed="false">
      <c r="A5" s="3" t="s">
        <v>4</v>
      </c>
      <c r="B5" s="3"/>
      <c r="C5" s="4" t="s">
        <v>37</v>
      </c>
      <c r="E5" s="3" t="s">
        <v>5</v>
      </c>
      <c r="F5" s="3"/>
      <c r="G5" s="4" t="s">
        <v>38</v>
      </c>
    </row>
    <row r="6" customFormat="false" ht="15" hidden="false" customHeight="false" outlineLevel="0" collapsed="false">
      <c r="A6" s="3" t="s">
        <v>6</v>
      </c>
      <c r="B6" s="3"/>
      <c r="C6" s="6" t="n">
        <v>46300</v>
      </c>
      <c r="E6" s="3" t="s">
        <v>7</v>
      </c>
      <c r="F6" s="3"/>
      <c r="G6" s="7" t="n">
        <f aca="false">IF(C6="","",C6+6)</f>
        <v>46306</v>
      </c>
    </row>
    <row r="8" customFormat="false" ht="27.75" hidden="false" customHeight="true" outlineLevel="0" collapsed="false">
      <c r="A8" s="8" t="s">
        <v>8</v>
      </c>
      <c r="B8" s="8" t="s">
        <v>9</v>
      </c>
      <c r="C8" s="8" t="s">
        <v>10</v>
      </c>
      <c r="D8" s="8" t="s">
        <v>11</v>
      </c>
      <c r="E8" s="8" t="s">
        <v>12</v>
      </c>
      <c r="F8" s="8" t="s">
        <v>13</v>
      </c>
      <c r="G8" s="8" t="s">
        <v>14</v>
      </c>
      <c r="H8" s="8" t="s">
        <v>15</v>
      </c>
      <c r="I8" s="8" t="s">
        <v>16</v>
      </c>
    </row>
    <row r="9" customFormat="false" ht="15" hidden="false" customHeight="false" outlineLevel="0" collapsed="false">
      <c r="A9" s="9" t="s">
        <v>17</v>
      </c>
      <c r="B9" s="10"/>
      <c r="C9" s="10"/>
      <c r="D9" s="10"/>
      <c r="E9" s="10"/>
      <c r="F9" s="10"/>
      <c r="G9" s="10"/>
      <c r="H9" s="10"/>
      <c r="I9" s="10"/>
    </row>
    <row r="10" customFormat="false" ht="18" hidden="false" customHeight="true" outlineLevel="0" collapsed="false">
      <c r="A10" s="11" t="s">
        <v>18</v>
      </c>
      <c r="B10" s="12" t="n">
        <f aca="false">IF($C$6="","",$C$6+0)</f>
        <v>46300</v>
      </c>
      <c r="C10" s="4" t="s">
        <v>39</v>
      </c>
      <c r="D10" s="13" t="n">
        <v>0.333333333333333</v>
      </c>
      <c r="E10" s="13" t="n">
        <v>0.6875</v>
      </c>
      <c r="F10" s="14" t="n">
        <v>30</v>
      </c>
      <c r="G10" s="15" t="n">
        <f aca="false">IF(OR(D10="",E10=""),0,MAX(0,MOD(E10-D10,1)*24-N(F10)/60))</f>
        <v>8</v>
      </c>
      <c r="H10" s="16" t="n">
        <f aca="false">SUM(G10:G13)</f>
        <v>8</v>
      </c>
      <c r="I10" s="4"/>
    </row>
    <row r="11" customFormat="false" ht="18" hidden="false" customHeight="true" outlineLevel="0" collapsed="false">
      <c r="A11" s="11"/>
      <c r="B11" s="11"/>
      <c r="C11" s="4"/>
      <c r="D11" s="13"/>
      <c r="E11" s="13"/>
      <c r="F11" s="14"/>
      <c r="G11" s="15" t="n">
        <f aca="false">IF(OR(D11="",E11=""),0,MAX(0,MOD(E11-D11,1)*24-N(F11)/60))</f>
        <v>0</v>
      </c>
      <c r="H11" s="16"/>
      <c r="I11" s="4"/>
    </row>
    <row r="12" customFormat="false" ht="18" hidden="false" customHeight="true" outlineLevel="0" collapsed="false">
      <c r="A12" s="11"/>
      <c r="B12" s="11"/>
      <c r="C12" s="4"/>
      <c r="D12" s="13"/>
      <c r="E12" s="13"/>
      <c r="F12" s="14"/>
      <c r="G12" s="15" t="n">
        <f aca="false">IF(OR(D12="",E12=""),0,MAX(0,MOD(E12-D12,1)*24-N(F12)/60))</f>
        <v>0</v>
      </c>
      <c r="H12" s="16"/>
      <c r="I12" s="4"/>
    </row>
    <row r="13" customFormat="false" ht="18" hidden="false" customHeight="true" outlineLevel="0" collapsed="false">
      <c r="A13" s="11"/>
      <c r="B13" s="11"/>
      <c r="C13" s="4"/>
      <c r="D13" s="13"/>
      <c r="E13" s="13"/>
      <c r="F13" s="14"/>
      <c r="G13" s="15" t="n">
        <f aca="false">IF(OR(D13="",E13=""),0,MAX(0,MOD(E13-D13,1)*24-N(F13)/60))</f>
        <v>0</v>
      </c>
      <c r="H13" s="16"/>
      <c r="I13" s="4"/>
    </row>
    <row r="14" customFormat="false" ht="18" hidden="false" customHeight="true" outlineLevel="0" collapsed="false">
      <c r="A14" s="11" t="s">
        <v>19</v>
      </c>
      <c r="B14" s="12" t="n">
        <f aca="false">IF($C$6="","",$C$6+1)</f>
        <v>46301</v>
      </c>
      <c r="C14" s="4" t="s">
        <v>39</v>
      </c>
      <c r="D14" s="13" t="n">
        <v>0.333333333333333</v>
      </c>
      <c r="E14" s="13" t="n">
        <v>0.5</v>
      </c>
      <c r="F14" s="14" t="n">
        <v>0</v>
      </c>
      <c r="G14" s="15" t="n">
        <f aca="false">IF(OR(D14="",E14=""),0,MAX(0,MOD(E14-D14,1)*24-N(F14)/60))</f>
        <v>4</v>
      </c>
      <c r="H14" s="16" t="n">
        <f aca="false">SUM(G14:G17)</f>
        <v>7.75</v>
      </c>
      <c r="I14" s="4"/>
    </row>
    <row r="15" customFormat="false" ht="18" hidden="false" customHeight="true" outlineLevel="0" collapsed="false">
      <c r="A15" s="11"/>
      <c r="B15" s="11"/>
      <c r="C15" s="4" t="s">
        <v>40</v>
      </c>
      <c r="D15" s="13" t="n">
        <v>0.520833333333333</v>
      </c>
      <c r="E15" s="13" t="n">
        <v>0.583333333333333</v>
      </c>
      <c r="F15" s="14" t="n">
        <v>0</v>
      </c>
      <c r="G15" s="15" t="n">
        <f aca="false">IF(OR(D15="",E15=""),0,MAX(0,MOD(E15-D15,1)*24-N(F15)/60))</f>
        <v>1.5</v>
      </c>
      <c r="H15" s="16"/>
      <c r="I15" s="4"/>
    </row>
    <row r="16" customFormat="false" ht="18" hidden="false" customHeight="true" outlineLevel="0" collapsed="false">
      <c r="A16" s="11"/>
      <c r="B16" s="11"/>
      <c r="C16" s="4" t="s">
        <v>39</v>
      </c>
      <c r="D16" s="13" t="n">
        <v>0.59375</v>
      </c>
      <c r="E16" s="13" t="n">
        <v>0.6875</v>
      </c>
      <c r="F16" s="14" t="n">
        <v>0</v>
      </c>
      <c r="G16" s="15" t="n">
        <f aca="false">IF(OR(D16="",E16=""),0,MAX(0,MOD(E16-D16,1)*24-N(F16)/60))</f>
        <v>2.25</v>
      </c>
      <c r="H16" s="16"/>
      <c r="I16" s="4"/>
    </row>
    <row r="17" customFormat="false" ht="18" hidden="false" customHeight="true" outlineLevel="0" collapsed="false">
      <c r="A17" s="11"/>
      <c r="B17" s="11"/>
      <c r="C17" s="4"/>
      <c r="D17" s="13"/>
      <c r="E17" s="13"/>
      <c r="F17" s="14"/>
      <c r="G17" s="15" t="n">
        <f aca="false">IF(OR(D17="",E17=""),0,MAX(0,MOD(E17-D17,1)*24-N(F17)/60))</f>
        <v>0</v>
      </c>
      <c r="H17" s="16"/>
      <c r="I17" s="4"/>
    </row>
    <row r="18" customFormat="false" ht="18" hidden="false" customHeight="true" outlineLevel="0" collapsed="false">
      <c r="A18" s="11" t="s">
        <v>20</v>
      </c>
      <c r="B18" s="12" t="n">
        <f aca="false">IF($C$6="","",$C$6+2)</f>
        <v>46302</v>
      </c>
      <c r="C18" s="4" t="s">
        <v>41</v>
      </c>
      <c r="D18" s="13" t="n">
        <v>0.3125</v>
      </c>
      <c r="E18" s="13" t="n">
        <v>0.729166666666667</v>
      </c>
      <c r="F18" s="14" t="n">
        <v>30</v>
      </c>
      <c r="G18" s="15" t="n">
        <f aca="false">IF(OR(D18="",E18=""),0,MAX(0,MOD(E18-D18,1)*24-N(F18)/60))</f>
        <v>9.5</v>
      </c>
      <c r="H18" s="16" t="n">
        <f aca="false">SUM(G18:G21)</f>
        <v>9.5</v>
      </c>
      <c r="I18" s="4" t="s">
        <v>42</v>
      </c>
    </row>
    <row r="19" customFormat="false" ht="18" hidden="false" customHeight="true" outlineLevel="0" collapsed="false">
      <c r="A19" s="11"/>
      <c r="B19" s="11"/>
      <c r="C19" s="4"/>
      <c r="D19" s="13"/>
      <c r="E19" s="13"/>
      <c r="F19" s="14"/>
      <c r="G19" s="15" t="n">
        <f aca="false">IF(OR(D19="",E19=""),0,MAX(0,MOD(E19-D19,1)*24-N(F19)/60))</f>
        <v>0</v>
      </c>
      <c r="H19" s="16"/>
      <c r="I19" s="4"/>
    </row>
    <row r="20" customFormat="false" ht="18" hidden="false" customHeight="true" outlineLevel="0" collapsed="false">
      <c r="A20" s="11"/>
      <c r="B20" s="11"/>
      <c r="C20" s="4"/>
      <c r="D20" s="13"/>
      <c r="E20" s="13"/>
      <c r="F20" s="14"/>
      <c r="G20" s="15" t="n">
        <f aca="false">IF(OR(D20="",E20=""),0,MAX(0,MOD(E20-D20,1)*24-N(F20)/60))</f>
        <v>0</v>
      </c>
      <c r="H20" s="16"/>
      <c r="I20" s="4"/>
    </row>
    <row r="21" customFormat="false" ht="18" hidden="false" customHeight="true" outlineLevel="0" collapsed="false">
      <c r="A21" s="11"/>
      <c r="B21" s="11"/>
      <c r="C21" s="4"/>
      <c r="D21" s="13"/>
      <c r="E21" s="13"/>
      <c r="F21" s="14"/>
      <c r="G21" s="15" t="n">
        <f aca="false">IF(OR(D21="",E21=""),0,MAX(0,MOD(E21-D21,1)*24-N(F21)/60))</f>
        <v>0</v>
      </c>
      <c r="H21" s="16"/>
      <c r="I21" s="4"/>
    </row>
    <row r="22" customFormat="false" ht="18" hidden="false" customHeight="true" outlineLevel="0" collapsed="false">
      <c r="A22" s="11" t="s">
        <v>21</v>
      </c>
      <c r="B22" s="12" t="n">
        <f aca="false">IF($C$6="","",$C$6+3)</f>
        <v>46303</v>
      </c>
      <c r="C22" s="4" t="s">
        <v>41</v>
      </c>
      <c r="D22" s="13" t="n">
        <v>0.333333333333333</v>
      </c>
      <c r="E22" s="13" t="n">
        <v>0.6875</v>
      </c>
      <c r="F22" s="14" t="n">
        <v>30</v>
      </c>
      <c r="G22" s="15" t="n">
        <f aca="false">IF(OR(D22="",E22=""),0,MAX(0,MOD(E22-D22,1)*24-N(F22)/60))</f>
        <v>8</v>
      </c>
      <c r="H22" s="16" t="n">
        <f aca="false">SUM(G22:G25)</f>
        <v>8</v>
      </c>
      <c r="I22" s="4"/>
    </row>
    <row r="23" customFormat="false" ht="18" hidden="false" customHeight="true" outlineLevel="0" collapsed="false">
      <c r="A23" s="11"/>
      <c r="B23" s="11"/>
      <c r="C23" s="4"/>
      <c r="D23" s="13"/>
      <c r="E23" s="13"/>
      <c r="F23" s="14"/>
      <c r="G23" s="15" t="n">
        <f aca="false">IF(OR(D23="",E23=""),0,MAX(0,MOD(E23-D23,1)*24-N(F23)/60))</f>
        <v>0</v>
      </c>
      <c r="H23" s="16"/>
      <c r="I23" s="4"/>
    </row>
    <row r="24" customFormat="false" ht="18" hidden="false" customHeight="true" outlineLevel="0" collapsed="false">
      <c r="A24" s="11"/>
      <c r="B24" s="11"/>
      <c r="C24" s="4"/>
      <c r="D24" s="13"/>
      <c r="E24" s="13"/>
      <c r="F24" s="14"/>
      <c r="G24" s="15" t="n">
        <f aca="false">IF(OR(D24="",E24=""),0,MAX(0,MOD(E24-D24,1)*24-N(F24)/60))</f>
        <v>0</v>
      </c>
      <c r="H24" s="16"/>
      <c r="I24" s="4"/>
    </row>
    <row r="25" customFormat="false" ht="18" hidden="false" customHeight="true" outlineLevel="0" collapsed="false">
      <c r="A25" s="11"/>
      <c r="B25" s="11"/>
      <c r="C25" s="4"/>
      <c r="D25" s="13"/>
      <c r="E25" s="13"/>
      <c r="F25" s="14"/>
      <c r="G25" s="15" t="n">
        <f aca="false">IF(OR(D25="",E25=""),0,MAX(0,MOD(E25-D25,1)*24-N(F25)/60))</f>
        <v>0</v>
      </c>
      <c r="H25" s="16"/>
      <c r="I25" s="4"/>
    </row>
    <row r="26" customFormat="false" ht="18" hidden="false" customHeight="true" outlineLevel="0" collapsed="false">
      <c r="A26" s="11" t="s">
        <v>22</v>
      </c>
      <c r="B26" s="12" t="n">
        <f aca="false">IF($C$6="","",$C$6+4)</f>
        <v>46304</v>
      </c>
      <c r="C26" s="4"/>
      <c r="D26" s="13"/>
      <c r="E26" s="13"/>
      <c r="F26" s="14"/>
      <c r="G26" s="15" t="n">
        <f aca="false">IF(OR(D26="",E26=""),0,MAX(0,MOD(E26-D26,1)*24-N(F26)/60))</f>
        <v>0</v>
      </c>
      <c r="H26" s="16" t="n">
        <f aca="false">SUM(G26:G29)</f>
        <v>0</v>
      </c>
      <c r="I26" s="4" t="s">
        <v>43</v>
      </c>
    </row>
    <row r="27" customFormat="false" ht="18" hidden="false" customHeight="true" outlineLevel="0" collapsed="false">
      <c r="A27" s="11"/>
      <c r="B27" s="11"/>
      <c r="C27" s="4"/>
      <c r="D27" s="13"/>
      <c r="E27" s="13"/>
      <c r="F27" s="14"/>
      <c r="G27" s="15" t="n">
        <f aca="false">IF(OR(D27="",E27=""),0,MAX(0,MOD(E27-D27,1)*24-N(F27)/60))</f>
        <v>0</v>
      </c>
      <c r="H27" s="16"/>
      <c r="I27" s="4"/>
    </row>
    <row r="28" customFormat="false" ht="18" hidden="false" customHeight="true" outlineLevel="0" collapsed="false">
      <c r="A28" s="11"/>
      <c r="B28" s="11"/>
      <c r="C28" s="4"/>
      <c r="D28" s="13"/>
      <c r="E28" s="13"/>
      <c r="F28" s="14"/>
      <c r="G28" s="15" t="n">
        <f aca="false">IF(OR(D28="",E28=""),0,MAX(0,MOD(E28-D28,1)*24-N(F28)/60))</f>
        <v>0</v>
      </c>
      <c r="H28" s="16"/>
      <c r="I28" s="4"/>
    </row>
    <row r="29" customFormat="false" ht="18" hidden="false" customHeight="true" outlineLevel="0" collapsed="false">
      <c r="A29" s="11"/>
      <c r="B29" s="11"/>
      <c r="C29" s="4"/>
      <c r="D29" s="13"/>
      <c r="E29" s="13"/>
      <c r="F29" s="14"/>
      <c r="G29" s="15" t="n">
        <f aca="false">IF(OR(D29="",E29=""),0,MAX(0,MOD(E29-D29,1)*24-N(F29)/60))</f>
        <v>0</v>
      </c>
      <c r="H29" s="16"/>
      <c r="I29" s="4"/>
    </row>
    <row r="30" customFormat="false" ht="15" hidden="false" customHeight="false" outlineLevel="0" collapsed="false">
      <c r="A30" s="17" t="s">
        <v>23</v>
      </c>
      <c r="B30" s="17"/>
      <c r="C30" s="17"/>
      <c r="D30" s="17"/>
      <c r="E30" s="17"/>
      <c r="F30" s="17"/>
      <c r="G30" s="17"/>
      <c r="H30" s="18" t="n">
        <f aca="false">SUM(G10:G29)</f>
        <v>33.25</v>
      </c>
      <c r="I30" s="19"/>
    </row>
    <row r="32" customFormat="false" ht="15" hidden="false" customHeight="false" outlineLevel="0" collapsed="false">
      <c r="A32" s="9" t="s">
        <v>24</v>
      </c>
      <c r="B32" s="10"/>
      <c r="C32" s="10"/>
      <c r="D32" s="10"/>
      <c r="E32" s="10"/>
      <c r="F32" s="10"/>
      <c r="G32" s="10"/>
      <c r="H32" s="10"/>
      <c r="I32" s="10"/>
    </row>
    <row r="33" customFormat="false" ht="18" hidden="false" customHeight="true" outlineLevel="0" collapsed="false">
      <c r="A33" s="11" t="s">
        <v>25</v>
      </c>
      <c r="B33" s="12" t="n">
        <f aca="false">IF($C$6="","",$C$6+5)</f>
        <v>46305</v>
      </c>
      <c r="C33" s="4" t="s">
        <v>44</v>
      </c>
      <c r="D33" s="13" t="n">
        <v>0.375</v>
      </c>
      <c r="E33" s="13" t="n">
        <v>0.5</v>
      </c>
      <c r="F33" s="14" t="n">
        <v>0</v>
      </c>
      <c r="G33" s="15" t="n">
        <f aca="false">IF(OR(D33="",E33=""),0,MAX(0,MOD(E33-D33,1)*24-N(F33)/60))</f>
        <v>3</v>
      </c>
      <c r="H33" s="16" t="n">
        <f aca="false">SUM(G33:G36)</f>
        <v>3</v>
      </c>
      <c r="I33" s="4" t="s">
        <v>45</v>
      </c>
    </row>
    <row r="34" customFormat="false" ht="18" hidden="false" customHeight="true" outlineLevel="0" collapsed="false">
      <c r="A34" s="11"/>
      <c r="B34" s="11"/>
      <c r="C34" s="4"/>
      <c r="D34" s="13"/>
      <c r="E34" s="13"/>
      <c r="F34" s="14"/>
      <c r="G34" s="15" t="n">
        <f aca="false">IF(OR(D34="",E34=""),0,MAX(0,MOD(E34-D34,1)*24-N(F34)/60))</f>
        <v>0</v>
      </c>
      <c r="H34" s="16"/>
      <c r="I34" s="4"/>
    </row>
    <row r="35" customFormat="false" ht="18" hidden="false" customHeight="true" outlineLevel="0" collapsed="false">
      <c r="A35" s="11"/>
      <c r="B35" s="11"/>
      <c r="C35" s="4"/>
      <c r="D35" s="13"/>
      <c r="E35" s="13"/>
      <c r="F35" s="14"/>
      <c r="G35" s="15" t="n">
        <f aca="false">IF(OR(D35="",E35=""),0,MAX(0,MOD(E35-D35,1)*24-N(F35)/60))</f>
        <v>0</v>
      </c>
      <c r="H35" s="16"/>
      <c r="I35" s="4"/>
    </row>
    <row r="36" customFormat="false" ht="18" hidden="false" customHeight="true" outlineLevel="0" collapsed="false">
      <c r="A36" s="11"/>
      <c r="B36" s="11"/>
      <c r="C36" s="4"/>
      <c r="D36" s="13"/>
      <c r="E36" s="13"/>
      <c r="F36" s="14"/>
      <c r="G36" s="15" t="n">
        <f aca="false">IF(OR(D36="",E36=""),0,MAX(0,MOD(E36-D36,1)*24-N(F36)/60))</f>
        <v>0</v>
      </c>
      <c r="H36" s="16"/>
      <c r="I36" s="4"/>
    </row>
    <row r="37" customFormat="false" ht="18" hidden="false" customHeight="true" outlineLevel="0" collapsed="false">
      <c r="A37" s="11" t="s">
        <v>26</v>
      </c>
      <c r="B37" s="12" t="n">
        <f aca="false">IF($C$6="","",$C$6+6)</f>
        <v>46306</v>
      </c>
      <c r="C37" s="4"/>
      <c r="D37" s="13"/>
      <c r="E37" s="13"/>
      <c r="F37" s="14"/>
      <c r="G37" s="15" t="n">
        <f aca="false">IF(OR(D37="",E37=""),0,MAX(0,MOD(E37-D37,1)*24-N(F37)/60))</f>
        <v>0</v>
      </c>
      <c r="H37" s="16" t="n">
        <f aca="false">SUM(G37:G40)</f>
        <v>0</v>
      </c>
      <c r="I37" s="4"/>
    </row>
    <row r="38" customFormat="false" ht="18" hidden="false" customHeight="true" outlineLevel="0" collapsed="false">
      <c r="A38" s="11"/>
      <c r="B38" s="11"/>
      <c r="C38" s="4"/>
      <c r="D38" s="13"/>
      <c r="E38" s="13"/>
      <c r="F38" s="14"/>
      <c r="G38" s="15" t="n">
        <f aca="false">IF(OR(D38="",E38=""),0,MAX(0,MOD(E38-D38,1)*24-N(F38)/60))</f>
        <v>0</v>
      </c>
      <c r="H38" s="16"/>
      <c r="I38" s="4"/>
    </row>
    <row r="39" customFormat="false" ht="18" hidden="false" customHeight="true" outlineLevel="0" collapsed="false">
      <c r="A39" s="11"/>
      <c r="B39" s="11"/>
      <c r="C39" s="4"/>
      <c r="D39" s="13"/>
      <c r="E39" s="13"/>
      <c r="F39" s="14"/>
      <c r="G39" s="15" t="n">
        <f aca="false">IF(OR(D39="",E39=""),0,MAX(0,MOD(E39-D39,1)*24-N(F39)/60))</f>
        <v>0</v>
      </c>
      <c r="H39" s="16"/>
      <c r="I39" s="4"/>
    </row>
    <row r="40" customFormat="false" ht="18" hidden="false" customHeight="true" outlineLevel="0" collapsed="false">
      <c r="A40" s="11"/>
      <c r="B40" s="11"/>
      <c r="C40" s="4"/>
      <c r="D40" s="13"/>
      <c r="E40" s="13"/>
      <c r="F40" s="14"/>
      <c r="G40" s="15" t="n">
        <f aca="false">IF(OR(D40="",E40=""),0,MAX(0,MOD(E40-D40,1)*24-N(F40)/60))</f>
        <v>0</v>
      </c>
      <c r="H40" s="16"/>
      <c r="I40" s="4"/>
    </row>
    <row r="41" customFormat="false" ht="15" hidden="false" customHeight="false" outlineLevel="0" collapsed="false">
      <c r="A41" s="17" t="s">
        <v>27</v>
      </c>
      <c r="B41" s="17"/>
      <c r="C41" s="17"/>
      <c r="D41" s="17"/>
      <c r="E41" s="17"/>
      <c r="F41" s="17"/>
      <c r="G41" s="17"/>
      <c r="H41" s="18" t="n">
        <f aca="false">SUM(G33:G40)</f>
        <v>3</v>
      </c>
      <c r="I41" s="19"/>
    </row>
    <row r="43" customFormat="false" ht="15" hidden="false" customHeight="false" outlineLevel="0" collapsed="false">
      <c r="A43" s="20" t="s">
        <v>28</v>
      </c>
    </row>
    <row r="44" customFormat="false" ht="15" hidden="false" customHeight="false" outlineLevel="0" collapsed="false">
      <c r="A44" s="21" t="s">
        <v>29</v>
      </c>
      <c r="B44" s="21"/>
      <c r="C44" s="21"/>
      <c r="D44" s="21"/>
      <c r="E44" s="21"/>
      <c r="F44" s="21"/>
      <c r="G44" s="21"/>
      <c r="H44" s="22" t="n">
        <f aca="false">MIN(H30,G4)</f>
        <v>33.25</v>
      </c>
    </row>
    <row r="45" customFormat="false" ht="15" hidden="false" customHeight="false" outlineLevel="0" collapsed="false">
      <c r="A45" s="21" t="s">
        <v>30</v>
      </c>
      <c r="B45" s="21"/>
      <c r="C45" s="21"/>
      <c r="D45" s="21"/>
      <c r="E45" s="21"/>
      <c r="F45" s="21"/>
      <c r="G45" s="21"/>
      <c r="H45" s="22" t="n">
        <f aca="false">MAX(0,H30-G4)</f>
        <v>0</v>
      </c>
    </row>
    <row r="46" customFormat="false" ht="15" hidden="false" customHeight="false" outlineLevel="0" collapsed="false">
      <c r="A46" s="21" t="s">
        <v>31</v>
      </c>
      <c r="B46" s="21"/>
      <c r="C46" s="21"/>
      <c r="D46" s="21"/>
      <c r="E46" s="21"/>
      <c r="F46" s="21"/>
      <c r="G46" s="21"/>
      <c r="H46" s="22" t="n">
        <f aca="false">H41</f>
        <v>3</v>
      </c>
    </row>
    <row r="47" customFormat="false" ht="15" hidden="false" customHeight="false" outlineLevel="0" collapsed="false">
      <c r="A47" s="9" t="s">
        <v>32</v>
      </c>
      <c r="B47" s="9"/>
      <c r="C47" s="9"/>
      <c r="D47" s="9"/>
      <c r="E47" s="9"/>
      <c r="F47" s="9"/>
      <c r="G47" s="9"/>
      <c r="H47" s="23" t="n">
        <f aca="false">H30+H41</f>
        <v>36.25</v>
      </c>
    </row>
    <row r="50" customFormat="false" ht="15" hidden="false" customHeight="false" outlineLevel="0" collapsed="false">
      <c r="A50" s="24" t="s">
        <v>33</v>
      </c>
      <c r="B50" s="25"/>
      <c r="C50" s="25"/>
      <c r="D50" s="25"/>
      <c r="E50" s="24" t="s">
        <v>9</v>
      </c>
      <c r="F50" s="25"/>
      <c r="G50" s="25"/>
      <c r="H50" s="25"/>
    </row>
    <row r="52" customFormat="false" ht="15" hidden="false" customHeight="false" outlineLevel="0" collapsed="false">
      <c r="A52" s="24" t="s">
        <v>34</v>
      </c>
      <c r="B52" s="25"/>
      <c r="C52" s="25"/>
      <c r="D52" s="25"/>
      <c r="E52" s="24" t="s">
        <v>9</v>
      </c>
      <c r="F52" s="25"/>
      <c r="G52" s="25"/>
      <c r="H52" s="25"/>
    </row>
    <row r="54" customFormat="false" ht="15" hidden="false" customHeight="false" outlineLevel="0" collapsed="false">
      <c r="A54" s="26" t="s">
        <v>35</v>
      </c>
    </row>
  </sheetData>
  <mergeCells count="34">
    <mergeCell ref="A2:I2"/>
    <mergeCell ref="A4:B4"/>
    <mergeCell ref="E4:F4"/>
    <mergeCell ref="A5:B5"/>
    <mergeCell ref="E5:F5"/>
    <mergeCell ref="A6:B6"/>
    <mergeCell ref="E6:F6"/>
    <mergeCell ref="A10:A13"/>
    <mergeCell ref="B10:B13"/>
    <mergeCell ref="H10:H13"/>
    <mergeCell ref="A14:A17"/>
    <mergeCell ref="B14:B17"/>
    <mergeCell ref="H14:H17"/>
    <mergeCell ref="A18:A21"/>
    <mergeCell ref="B18:B21"/>
    <mergeCell ref="H18:H21"/>
    <mergeCell ref="A22:A25"/>
    <mergeCell ref="B22:B25"/>
    <mergeCell ref="H22:H25"/>
    <mergeCell ref="A26:A29"/>
    <mergeCell ref="B26:B29"/>
    <mergeCell ref="H26:H29"/>
    <mergeCell ref="A30:G30"/>
    <mergeCell ref="A33:A36"/>
    <mergeCell ref="B33:B36"/>
    <mergeCell ref="H33:H36"/>
    <mergeCell ref="A37:A40"/>
    <mergeCell ref="B37:B40"/>
    <mergeCell ref="H37:H40"/>
    <mergeCell ref="A41:G41"/>
    <mergeCell ref="A44:G44"/>
    <mergeCell ref="A45:G45"/>
    <mergeCell ref="A46:G46"/>
    <mergeCell ref="A47:G4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2026-10-08T19:08:24Z</dcterms:created>
  <dc:creator>openpyxl</dc:creator>
  <dc:description/>
  <dc:language>en-US</dc:language>
  <cp:lastModifiedBy/>
  <dcterms:modified xsi:type="dcterms:W3CDTF">2026-10-08T19:08:24Z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
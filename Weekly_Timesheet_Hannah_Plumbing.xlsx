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imesheet" sheetId="1" state="visible" r:id="rId3"/>
    <sheet name="Example" sheetId="2" state="visible" r:id="rId4"/>
  </sheets>
  <definedNames>
    <definedName function="false" hidden="false" localSheetId="1" name="_xlnm.Print_Area" vbProcedure="false">Example!$A$1:$H$33</definedName>
    <definedName function="false" hidden="false" localSheetId="0" name="_xlnm.Print_Area" vbProcedure="false">Timesheet!$A$1:$H$33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4" authorId="0">
      <text>
        <r>
          <rPr>
            <sz val="10"/>
            <rFont val="Arial"/>
            <family val="2"/>
          </rPr>
          <t xml:space="preserve">Contracted weekday hours before overtime. 40 assumed - change to suit the employee's contract.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4" authorId="0">
      <text>
        <r>
          <rPr>
            <sz val="10"/>
            <rFont val="Arial"/>
            <family val="2"/>
          </rPr>
          <t xml:space="preserve">Contracted weekday hours before overtime. 40 assumed - change to suit the employee's contract.</t>
        </r>
      </text>
    </comment>
  </commentList>
</comments>
</file>

<file path=xl/sharedStrings.xml><?xml version="1.0" encoding="utf-8"?>
<sst xmlns="http://schemas.openxmlformats.org/spreadsheetml/2006/main" count="85" uniqueCount="44">
  <si>
    <t xml:space="preserve">HANNAH PLUMBING &amp; HEATING LTD - WEEKLY TIMESHEET</t>
  </si>
  <si>
    <t xml:space="preserve">Yellow cells are for the employee to fill in. Enter times as 24hr (e.g. 08:00, 16:30) and unpaid break in minutes. Hours are worked out automatically. Leave a day blank if not worked.</t>
  </si>
  <si>
    <t xml:space="preserve">Employee name</t>
  </si>
  <si>
    <t xml:space="preserve">Standard weekly hours</t>
  </si>
  <si>
    <t xml:space="preserve">Employee / payroll no.</t>
  </si>
  <si>
    <t xml:space="preserve">Vehicle reg (if van)</t>
  </si>
  <si>
    <t xml:space="preserve">Week commencing (Monday)</t>
  </si>
  <si>
    <t xml:space="preserve">Week ending (Sunday)</t>
  </si>
  <si>
    <t xml:space="preserve">Day</t>
  </si>
  <si>
    <t xml:space="preserve">Date</t>
  </si>
  <si>
    <t xml:space="preserve">Job / site address</t>
  </si>
  <si>
    <t xml:space="preserve">Start</t>
  </si>
  <si>
    <t xml:space="preserve">Finish</t>
  </si>
  <si>
    <t xml:space="preserve">Break (mins)</t>
  </si>
  <si>
    <t xml:space="preserve">Hours</t>
  </si>
  <si>
    <t xml:space="preserve">Notes (travel, holiday, sick etc.)</t>
  </si>
  <si>
    <t xml:space="preserve">MONDAY - FRIDAY</t>
  </si>
  <si>
    <t xml:space="preserve">Monday</t>
  </si>
  <si>
    <t xml:space="preserve">Tuesday</t>
  </si>
  <si>
    <t xml:space="preserve">Wednesday</t>
  </si>
  <si>
    <t xml:space="preserve">Thursday</t>
  </si>
  <si>
    <t xml:space="preserve">Friday</t>
  </si>
  <si>
    <t xml:space="preserve">Total Monday - Friday hours</t>
  </si>
  <si>
    <t xml:space="preserve">WEEKEND</t>
  </si>
  <si>
    <t xml:space="preserve">Saturday</t>
  </si>
  <si>
    <t xml:space="preserve">Sunday</t>
  </si>
  <si>
    <t xml:space="preserve">Total weekend hours</t>
  </si>
  <si>
    <t xml:space="preserve">WEEKLY SUMMARY</t>
  </si>
  <si>
    <t xml:space="preserve">Mon - Fri hours (up to standard)</t>
  </si>
  <si>
    <t xml:space="preserve">Mon - Fri overtime (over standard hours)</t>
  </si>
  <si>
    <t xml:space="preserve">Weekend hours</t>
  </si>
  <si>
    <t xml:space="preserve">TOTAL HOURS FOR WEEK</t>
  </si>
  <si>
    <t xml:space="preserve">Employee signature</t>
  </si>
  <si>
    <t xml:space="preserve">Approved by (manager)</t>
  </si>
  <si>
    <t xml:space="preserve">I confirm the hours above are a true record of time worked.</t>
  </si>
  <si>
    <t xml:space="preserve">Example: J. Smith</t>
  </si>
  <si>
    <t xml:space="preserve">014</t>
  </si>
  <si>
    <t xml:space="preserve">SV71 ABC</t>
  </si>
  <si>
    <t xml:space="preserve">Life Church, Paisley - 1st fix</t>
  </si>
  <si>
    <t xml:space="preserve">Pivot Centre - plant room</t>
  </si>
  <si>
    <t xml:space="preserve">30 mins travel included</t>
  </si>
  <si>
    <t xml:space="preserve">Holiday</t>
  </si>
  <si>
    <t xml:space="preserve">Boiler breakdown - call-out</t>
  </si>
  <si>
    <t xml:space="preserve">Emergency call-out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</si>
</sst>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"/>
    <numFmt numFmtId="166" formatCode="dd/mm/yyyy"/>
    <numFmt numFmtId="167" formatCode="ddd\ dd/mm"/>
    <numFmt numFmtId="168" formatCode="hh:mm"/>
    <numFmt numFmtId="169" formatCode="0"/>
    <numFmt numFmtId="170" formatCode="0.00;\-0.00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F2F2F2"/>
      </patternFill>
    </fill>
    <fill>
      <patternFill patternType="solid">
        <fgColor rgb="FFF2F2F2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/>
      <right/>
      <top/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30"/>
    <col collapsed="false" customWidth="true" hidden="false" outlineLevel="0" max="5" min="4" style="0" width="10"/>
    <col collapsed="false" customWidth="true" hidden="false" outlineLevel="0" max="7" min="6" style="0" width="11"/>
    <col collapsed="false" customWidth="true" hidden="false" outlineLevel="0" max="8" min="8" style="0" width="30"/>
  </cols>
  <sheetData>
    <row r="1" customFormat="false" ht="17.35" hidden="false" customHeight="false" outlineLevel="0" collapsed="false">
      <c r="A1" s="1" t="s">
        <v>0</v>
      </c>
    </row>
    <row r="2" customFormat="false" ht="27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3" t="s">
        <v>2</v>
      </c>
      <c r="B4" s="3"/>
      <c r="C4" s="4"/>
      <c r="E4" s="3" t="s">
        <v>3</v>
      </c>
      <c r="F4" s="3"/>
      <c r="G4" s="5" t="n">
        <v>40</v>
      </c>
    </row>
    <row r="5" customFormat="false" ht="15" hidden="false" customHeight="false" outlineLevel="0" collapsed="false">
      <c r="A5" s="3" t="s">
        <v>4</v>
      </c>
      <c r="B5" s="3"/>
      <c r="C5" s="4"/>
      <c r="E5" s="3" t="s">
        <v>5</v>
      </c>
      <c r="F5" s="3"/>
      <c r="G5" s="4"/>
    </row>
    <row r="6" customFormat="false" ht="15" hidden="false" customHeight="false" outlineLevel="0" collapsed="false">
      <c r="A6" s="3" t="s">
        <v>6</v>
      </c>
      <c r="B6" s="3"/>
      <c r="C6" s="6"/>
      <c r="E6" s="3" t="s">
        <v>7</v>
      </c>
      <c r="F6" s="3"/>
      <c r="G6" s="7" t="str">
        <f aca="false">IF(C6="","",C6+6)</f>
        <v/>
      </c>
    </row>
    <row r="8" customFormat="false" ht="27.75" hidden="false" customHeight="true" outlineLevel="0" collapsed="false">
      <c r="A8" s="8" t="s">
        <v>8</v>
      </c>
      <c r="B8" s="8" t="s">
        <v>9</v>
      </c>
      <c r="C8" s="8" t="s">
        <v>10</v>
      </c>
      <c r="D8" s="8" t="s">
        <v>11</v>
      </c>
      <c r="E8" s="8" t="s">
        <v>12</v>
      </c>
      <c r="F8" s="8" t="s">
        <v>13</v>
      </c>
      <c r="G8" s="8" t="s">
        <v>14</v>
      </c>
      <c r="H8" s="8" t="s">
        <v>15</v>
      </c>
    </row>
    <row r="9" customFormat="false" ht="15" hidden="false" customHeight="false" outlineLevel="0" collapsed="false">
      <c r="A9" s="9" t="s">
        <v>16</v>
      </c>
      <c r="B9" s="10"/>
      <c r="C9" s="10"/>
      <c r="D9" s="10"/>
      <c r="E9" s="10"/>
      <c r="F9" s="10"/>
      <c r="G9" s="10"/>
      <c r="H9" s="10"/>
    </row>
    <row r="10" customFormat="false" ht="19.5" hidden="false" customHeight="true" outlineLevel="0" collapsed="false">
      <c r="A10" s="11" t="s">
        <v>17</v>
      </c>
      <c r="B10" s="12" t="str">
        <f aca="false">IF($C$6="","",$C$6+0)</f>
        <v/>
      </c>
      <c r="C10" s="4"/>
      <c r="D10" s="13"/>
      <c r="E10" s="13"/>
      <c r="F10" s="14"/>
      <c r="G10" s="15" t="n">
        <f aca="false">IF(OR(D10="",E10=""),0,MAX(0,MOD(E10-D10,1)*24-N(F10)/60))</f>
        <v>0</v>
      </c>
      <c r="H10" s="4"/>
    </row>
    <row r="11" customFormat="false" ht="19.5" hidden="false" customHeight="true" outlineLevel="0" collapsed="false">
      <c r="A11" s="11" t="s">
        <v>18</v>
      </c>
      <c r="B11" s="12" t="str">
        <f aca="false">IF($C$6="","",$C$6+1)</f>
        <v/>
      </c>
      <c r="C11" s="4"/>
      <c r="D11" s="13"/>
      <c r="E11" s="13"/>
      <c r="F11" s="14"/>
      <c r="G11" s="15" t="n">
        <f aca="false">IF(OR(D11="",E11=""),0,MAX(0,MOD(E11-D11,1)*24-N(F11)/60))</f>
        <v>0</v>
      </c>
      <c r="H11" s="4"/>
    </row>
    <row r="12" customFormat="false" ht="19.5" hidden="false" customHeight="true" outlineLevel="0" collapsed="false">
      <c r="A12" s="11" t="s">
        <v>19</v>
      </c>
      <c r="B12" s="12" t="str">
        <f aca="false">IF($C$6="","",$C$6+2)</f>
        <v/>
      </c>
      <c r="C12" s="4"/>
      <c r="D12" s="13"/>
      <c r="E12" s="13"/>
      <c r="F12" s="14"/>
      <c r="G12" s="15" t="n">
        <f aca="false">IF(OR(D12="",E12=""),0,MAX(0,MOD(E12-D12,1)*24-N(F12)/60))</f>
        <v>0</v>
      </c>
      <c r="H12" s="4"/>
    </row>
    <row r="13" customFormat="false" ht="19.5" hidden="false" customHeight="true" outlineLevel="0" collapsed="false">
      <c r="A13" s="11" t="s">
        <v>20</v>
      </c>
      <c r="B13" s="12" t="str">
        <f aca="false">IF($C$6="","",$C$6+3)</f>
        <v/>
      </c>
      <c r="C13" s="4"/>
      <c r="D13" s="13"/>
      <c r="E13" s="13"/>
      <c r="F13" s="14"/>
      <c r="G13" s="15" t="n">
        <f aca="false">IF(OR(D13="",E13=""),0,MAX(0,MOD(E13-D13,1)*24-N(F13)/60))</f>
        <v>0</v>
      </c>
      <c r="H13" s="4"/>
    </row>
    <row r="14" customFormat="false" ht="19.5" hidden="false" customHeight="true" outlineLevel="0" collapsed="false">
      <c r="A14" s="11" t="s">
        <v>21</v>
      </c>
      <c r="B14" s="12" t="str">
        <f aca="false">IF($C$6="","",$C$6+4)</f>
        <v/>
      </c>
      <c r="C14" s="4"/>
      <c r="D14" s="13"/>
      <c r="E14" s="13"/>
      <c r="F14" s="14"/>
      <c r="G14" s="15" t="n">
        <f aca="false">IF(OR(D14="",E14=""),0,MAX(0,MOD(E14-D14,1)*24-N(F14)/60))</f>
        <v>0</v>
      </c>
      <c r="H14" s="4"/>
    </row>
    <row r="15" customFormat="false" ht="15" hidden="false" customHeight="false" outlineLevel="0" collapsed="false">
      <c r="A15" s="16" t="s">
        <v>22</v>
      </c>
      <c r="B15" s="16"/>
      <c r="C15" s="16"/>
      <c r="D15" s="16"/>
      <c r="E15" s="16"/>
      <c r="F15" s="16"/>
      <c r="G15" s="17" t="n">
        <f aca="false">SUM(G10:G14)</f>
        <v>0</v>
      </c>
      <c r="H15" s="18"/>
    </row>
    <row r="17" customFormat="false" ht="15" hidden="false" customHeight="false" outlineLevel="0" collapsed="false">
      <c r="A17" s="9" t="s">
        <v>23</v>
      </c>
      <c r="B17" s="10"/>
      <c r="C17" s="10"/>
      <c r="D17" s="10"/>
      <c r="E17" s="10"/>
      <c r="F17" s="10"/>
      <c r="G17" s="10"/>
      <c r="H17" s="10"/>
    </row>
    <row r="18" customFormat="false" ht="19.5" hidden="false" customHeight="true" outlineLevel="0" collapsed="false">
      <c r="A18" s="11" t="s">
        <v>24</v>
      </c>
      <c r="B18" s="12" t="str">
        <f aca="false">IF($C$6="","",$C$6+5)</f>
        <v/>
      </c>
      <c r="C18" s="4"/>
      <c r="D18" s="13"/>
      <c r="E18" s="13"/>
      <c r="F18" s="14"/>
      <c r="G18" s="15" t="n">
        <f aca="false">IF(OR(D18="",E18=""),0,MAX(0,MOD(E18-D18,1)*24-N(F18)/60))</f>
        <v>0</v>
      </c>
      <c r="H18" s="4"/>
    </row>
    <row r="19" customFormat="false" ht="19.5" hidden="false" customHeight="true" outlineLevel="0" collapsed="false">
      <c r="A19" s="11" t="s">
        <v>25</v>
      </c>
      <c r="B19" s="12" t="str">
        <f aca="false">IF($C$6="","",$C$6+6)</f>
        <v/>
      </c>
      <c r="C19" s="4"/>
      <c r="D19" s="13"/>
      <c r="E19" s="13"/>
      <c r="F19" s="14"/>
      <c r="G19" s="15" t="n">
        <f aca="false">IF(OR(D19="",E19=""),0,MAX(0,MOD(E19-D19,1)*24-N(F19)/60))</f>
        <v>0</v>
      </c>
      <c r="H19" s="4"/>
    </row>
    <row r="20" customFormat="false" ht="15" hidden="false" customHeight="false" outlineLevel="0" collapsed="false">
      <c r="A20" s="16" t="s">
        <v>26</v>
      </c>
      <c r="B20" s="16"/>
      <c r="C20" s="16"/>
      <c r="D20" s="16"/>
      <c r="E20" s="16"/>
      <c r="F20" s="16"/>
      <c r="G20" s="17" t="n">
        <f aca="false">SUM(G18:G19)</f>
        <v>0</v>
      </c>
      <c r="H20" s="18"/>
    </row>
    <row r="22" customFormat="false" ht="15" hidden="false" customHeight="false" outlineLevel="0" collapsed="false">
      <c r="A22" s="19" t="s">
        <v>27</v>
      </c>
    </row>
    <row r="23" customFormat="false" ht="15" hidden="false" customHeight="false" outlineLevel="0" collapsed="false">
      <c r="A23" s="20" t="s">
        <v>28</v>
      </c>
      <c r="B23" s="20"/>
      <c r="C23" s="20"/>
      <c r="D23" s="20"/>
      <c r="E23" s="20"/>
      <c r="F23" s="20"/>
      <c r="G23" s="21" t="n">
        <f aca="false">MIN(G15,G4)</f>
        <v>0</v>
      </c>
    </row>
    <row r="24" customFormat="false" ht="15" hidden="false" customHeight="false" outlineLevel="0" collapsed="false">
      <c r="A24" s="20" t="s">
        <v>29</v>
      </c>
      <c r="B24" s="20"/>
      <c r="C24" s="20"/>
      <c r="D24" s="20"/>
      <c r="E24" s="20"/>
      <c r="F24" s="20"/>
      <c r="G24" s="21" t="n">
        <f aca="false">MAX(0,G15-G4)</f>
        <v>0</v>
      </c>
    </row>
    <row r="25" customFormat="false" ht="15" hidden="false" customHeight="false" outlineLevel="0" collapsed="false">
      <c r="A25" s="20" t="s">
        <v>30</v>
      </c>
      <c r="B25" s="20"/>
      <c r="C25" s="20"/>
      <c r="D25" s="20"/>
      <c r="E25" s="20"/>
      <c r="F25" s="20"/>
      <c r="G25" s="21" t="n">
        <f aca="false">G20</f>
        <v>0</v>
      </c>
    </row>
    <row r="26" customFormat="false" ht="15" hidden="false" customHeight="false" outlineLevel="0" collapsed="false">
      <c r="A26" s="9" t="s">
        <v>31</v>
      </c>
      <c r="B26" s="9"/>
      <c r="C26" s="9"/>
      <c r="D26" s="9"/>
      <c r="E26" s="9"/>
      <c r="F26" s="9"/>
      <c r="G26" s="22" t="n">
        <f aca="false">G15+G20</f>
        <v>0</v>
      </c>
    </row>
    <row r="29" customFormat="false" ht="15" hidden="false" customHeight="false" outlineLevel="0" collapsed="false">
      <c r="A29" s="23" t="s">
        <v>32</v>
      </c>
      <c r="B29" s="24"/>
      <c r="C29" s="24"/>
      <c r="D29" s="24"/>
      <c r="E29" s="23" t="s">
        <v>9</v>
      </c>
      <c r="F29" s="24"/>
      <c r="G29" s="24"/>
    </row>
    <row r="31" customFormat="false" ht="15" hidden="false" customHeight="false" outlineLevel="0" collapsed="false">
      <c r="A31" s="23" t="s">
        <v>33</v>
      </c>
      <c r="B31" s="24"/>
      <c r="C31" s="24"/>
      <c r="D31" s="24"/>
      <c r="E31" s="23" t="s">
        <v>9</v>
      </c>
      <c r="F31" s="24"/>
      <c r="G31" s="24"/>
    </row>
    <row r="33" customFormat="false" ht="15" hidden="false" customHeight="false" outlineLevel="0" collapsed="false">
      <c r="A33" s="25" t="s">
        <v>34</v>
      </c>
    </row>
  </sheetData>
  <mergeCells count="13">
    <mergeCell ref="A2:H2"/>
    <mergeCell ref="A4:B4"/>
    <mergeCell ref="E4:F4"/>
    <mergeCell ref="A5:B5"/>
    <mergeCell ref="E5:F5"/>
    <mergeCell ref="A6:B6"/>
    <mergeCell ref="E6:F6"/>
    <mergeCell ref="A15:F15"/>
    <mergeCell ref="A20:F20"/>
    <mergeCell ref="A23:F23"/>
    <mergeCell ref="A24:F24"/>
    <mergeCell ref="A25:F25"/>
    <mergeCell ref="A26:F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30"/>
    <col collapsed="false" customWidth="true" hidden="false" outlineLevel="0" max="5" min="4" style="0" width="10"/>
    <col collapsed="false" customWidth="true" hidden="false" outlineLevel="0" max="7" min="6" style="0" width="11"/>
    <col collapsed="false" customWidth="true" hidden="false" outlineLevel="0" max="8" min="8" style="0" width="30"/>
  </cols>
  <sheetData>
    <row r="1" customFormat="false" ht="17.35" hidden="false" customHeight="false" outlineLevel="0" collapsed="false">
      <c r="A1" s="1" t="s">
        <v>0</v>
      </c>
    </row>
    <row r="2" customFormat="false" ht="27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3" t="s">
        <v>2</v>
      </c>
      <c r="B4" s="3"/>
      <c r="C4" s="4" t="s">
        <v>35</v>
      </c>
      <c r="E4" s="3" t="s">
        <v>3</v>
      </c>
      <c r="F4" s="3"/>
      <c r="G4" s="5" t="n">
        <v>40</v>
      </c>
    </row>
    <row r="5" customFormat="false" ht="15" hidden="false" customHeight="false" outlineLevel="0" collapsed="false">
      <c r="A5" s="3" t="s">
        <v>4</v>
      </c>
      <c r="B5" s="3"/>
      <c r="C5" s="4" t="s">
        <v>36</v>
      </c>
      <c r="E5" s="3" t="s">
        <v>5</v>
      </c>
      <c r="F5" s="3"/>
      <c r="G5" s="4" t="s">
        <v>37</v>
      </c>
    </row>
    <row r="6" customFormat="false" ht="15" hidden="false" customHeight="false" outlineLevel="0" collapsed="false">
      <c r="A6" s="3" t="s">
        <v>6</v>
      </c>
      <c r="B6" s="3"/>
      <c r="C6" s="6" t="n">
        <v>46300</v>
      </c>
      <c r="E6" s="3" t="s">
        <v>7</v>
      </c>
      <c r="F6" s="3"/>
      <c r="G6" s="7" t="n">
        <f aca="false">IF(C6="","",C6+6)</f>
        <v>46306</v>
      </c>
    </row>
    <row r="8" customFormat="false" ht="27.75" hidden="false" customHeight="true" outlineLevel="0" collapsed="false">
      <c r="A8" s="8" t="s">
        <v>8</v>
      </c>
      <c r="B8" s="8" t="s">
        <v>9</v>
      </c>
      <c r="C8" s="8" t="s">
        <v>10</v>
      </c>
      <c r="D8" s="8" t="s">
        <v>11</v>
      </c>
      <c r="E8" s="8" t="s">
        <v>12</v>
      </c>
      <c r="F8" s="8" t="s">
        <v>13</v>
      </c>
      <c r="G8" s="8" t="s">
        <v>14</v>
      </c>
      <c r="H8" s="8" t="s">
        <v>15</v>
      </c>
    </row>
    <row r="9" customFormat="false" ht="15" hidden="false" customHeight="false" outlineLevel="0" collapsed="false">
      <c r="A9" s="9" t="s">
        <v>16</v>
      </c>
      <c r="B9" s="10"/>
      <c r="C9" s="10"/>
      <c r="D9" s="10"/>
      <c r="E9" s="10"/>
      <c r="F9" s="10"/>
      <c r="G9" s="10"/>
      <c r="H9" s="10"/>
    </row>
    <row r="10" customFormat="false" ht="19.5" hidden="false" customHeight="true" outlineLevel="0" collapsed="false">
      <c r="A10" s="11" t="s">
        <v>17</v>
      </c>
      <c r="B10" s="12" t="n">
        <f aca="false">IF($C$6="","",$C$6+0)</f>
        <v>46300</v>
      </c>
      <c r="C10" s="4" t="s">
        <v>38</v>
      </c>
      <c r="D10" s="13" t="n">
        <v>0.333333333333333</v>
      </c>
      <c r="E10" s="13" t="n">
        <v>0.6875</v>
      </c>
      <c r="F10" s="14" t="n">
        <v>30</v>
      </c>
      <c r="G10" s="15" t="n">
        <f aca="false">IF(OR(D10="",E10=""),0,MAX(0,MOD(E10-D10,1)*24-N(F10)/60))</f>
        <v>8</v>
      </c>
      <c r="H10" s="4"/>
    </row>
    <row r="11" customFormat="false" ht="19.5" hidden="false" customHeight="true" outlineLevel="0" collapsed="false">
      <c r="A11" s="11" t="s">
        <v>18</v>
      </c>
      <c r="B11" s="12" t="n">
        <f aca="false">IF($C$6="","",$C$6+1)</f>
        <v>46301</v>
      </c>
      <c r="C11" s="4" t="s">
        <v>38</v>
      </c>
      <c r="D11" s="13" t="n">
        <v>0.333333333333333</v>
      </c>
      <c r="E11" s="13" t="n">
        <v>0.6875</v>
      </c>
      <c r="F11" s="14" t="n">
        <v>30</v>
      </c>
      <c r="G11" s="15" t="n">
        <f aca="false">IF(OR(D11="",E11=""),0,MAX(0,MOD(E11-D11,1)*24-N(F11)/60))</f>
        <v>8</v>
      </c>
      <c r="H11" s="4"/>
    </row>
    <row r="12" customFormat="false" ht="19.5" hidden="false" customHeight="true" outlineLevel="0" collapsed="false">
      <c r="A12" s="11" t="s">
        <v>19</v>
      </c>
      <c r="B12" s="12" t="n">
        <f aca="false">IF($C$6="","",$C$6+2)</f>
        <v>46302</v>
      </c>
      <c r="C12" s="4" t="s">
        <v>39</v>
      </c>
      <c r="D12" s="13" t="n">
        <v>0.3125</v>
      </c>
      <c r="E12" s="13" t="n">
        <v>0.729166666666667</v>
      </c>
      <c r="F12" s="14" t="n">
        <v>30</v>
      </c>
      <c r="G12" s="15" t="n">
        <f aca="false">IF(OR(D12="",E12=""),0,MAX(0,MOD(E12-D12,1)*24-N(F12)/60))</f>
        <v>9.5</v>
      </c>
      <c r="H12" s="4" t="s">
        <v>40</v>
      </c>
    </row>
    <row r="13" customFormat="false" ht="19.5" hidden="false" customHeight="true" outlineLevel="0" collapsed="false">
      <c r="A13" s="11" t="s">
        <v>20</v>
      </c>
      <c r="B13" s="12" t="n">
        <f aca="false">IF($C$6="","",$C$6+3)</f>
        <v>46303</v>
      </c>
      <c r="C13" s="4" t="s">
        <v>39</v>
      </c>
      <c r="D13" s="13" t="n">
        <v>0.333333333333333</v>
      </c>
      <c r="E13" s="13" t="n">
        <v>0.6875</v>
      </c>
      <c r="F13" s="14" t="n">
        <v>30</v>
      </c>
      <c r="G13" s="15" t="n">
        <f aca="false">IF(OR(D13="",E13=""),0,MAX(0,MOD(E13-D13,1)*24-N(F13)/60))</f>
        <v>8</v>
      </c>
      <c r="H13" s="4"/>
    </row>
    <row r="14" customFormat="false" ht="19.5" hidden="false" customHeight="true" outlineLevel="0" collapsed="false">
      <c r="A14" s="11" t="s">
        <v>21</v>
      </c>
      <c r="B14" s="12" t="n">
        <f aca="false">IF($C$6="","",$C$6+4)</f>
        <v>46304</v>
      </c>
      <c r="C14" s="4"/>
      <c r="D14" s="13"/>
      <c r="E14" s="13"/>
      <c r="F14" s="14"/>
      <c r="G14" s="15" t="n">
        <f aca="false">IF(OR(D14="",E14=""),0,MAX(0,MOD(E14-D14,1)*24-N(F14)/60))</f>
        <v>0</v>
      </c>
      <c r="H14" s="4" t="s">
        <v>41</v>
      </c>
    </row>
    <row r="15" customFormat="false" ht="15" hidden="false" customHeight="false" outlineLevel="0" collapsed="false">
      <c r="A15" s="16" t="s">
        <v>22</v>
      </c>
      <c r="B15" s="16"/>
      <c r="C15" s="16"/>
      <c r="D15" s="16"/>
      <c r="E15" s="16"/>
      <c r="F15" s="16"/>
      <c r="G15" s="17" t="n">
        <f aca="false">SUM(G10:G14)</f>
        <v>33.5</v>
      </c>
      <c r="H15" s="18"/>
    </row>
    <row r="17" customFormat="false" ht="15" hidden="false" customHeight="false" outlineLevel="0" collapsed="false">
      <c r="A17" s="9" t="s">
        <v>23</v>
      </c>
      <c r="B17" s="10"/>
      <c r="C17" s="10"/>
      <c r="D17" s="10"/>
      <c r="E17" s="10"/>
      <c r="F17" s="10"/>
      <c r="G17" s="10"/>
      <c r="H17" s="10"/>
    </row>
    <row r="18" customFormat="false" ht="19.5" hidden="false" customHeight="true" outlineLevel="0" collapsed="false">
      <c r="A18" s="11" t="s">
        <v>24</v>
      </c>
      <c r="B18" s="12" t="n">
        <f aca="false">IF($C$6="","",$C$6+5)</f>
        <v>46305</v>
      </c>
      <c r="C18" s="4" t="s">
        <v>42</v>
      </c>
      <c r="D18" s="13" t="n">
        <v>0.375</v>
      </c>
      <c r="E18" s="13" t="n">
        <v>0.5</v>
      </c>
      <c r="F18" s="14" t="n">
        <v>0</v>
      </c>
      <c r="G18" s="15" t="n">
        <f aca="false">IF(OR(D18="",E18=""),0,MAX(0,MOD(E18-D18,1)*24-N(F18)/60))</f>
        <v>3</v>
      </c>
      <c r="H18" s="4" t="s">
        <v>43</v>
      </c>
    </row>
    <row r="19" customFormat="false" ht="19.5" hidden="false" customHeight="true" outlineLevel="0" collapsed="false">
      <c r="A19" s="11" t="s">
        <v>25</v>
      </c>
      <c r="B19" s="12" t="n">
        <f aca="false">IF($C$6="","",$C$6+6)</f>
        <v>46306</v>
      </c>
      <c r="C19" s="4"/>
      <c r="D19" s="13"/>
      <c r="E19" s="13"/>
      <c r="F19" s="14"/>
      <c r="G19" s="15" t="n">
        <f aca="false">IF(OR(D19="",E19=""),0,MAX(0,MOD(E19-D19,1)*24-N(F19)/60))</f>
        <v>0</v>
      </c>
      <c r="H19" s="4"/>
    </row>
    <row r="20" customFormat="false" ht="15" hidden="false" customHeight="false" outlineLevel="0" collapsed="false">
      <c r="A20" s="16" t="s">
        <v>26</v>
      </c>
      <c r="B20" s="16"/>
      <c r="C20" s="16"/>
      <c r="D20" s="16"/>
      <c r="E20" s="16"/>
      <c r="F20" s="16"/>
      <c r="G20" s="17" t="n">
        <f aca="false">SUM(G18:G19)</f>
        <v>3</v>
      </c>
      <c r="H20" s="18"/>
    </row>
    <row r="22" customFormat="false" ht="15" hidden="false" customHeight="false" outlineLevel="0" collapsed="false">
      <c r="A22" s="19" t="s">
        <v>27</v>
      </c>
    </row>
    <row r="23" customFormat="false" ht="15" hidden="false" customHeight="false" outlineLevel="0" collapsed="false">
      <c r="A23" s="20" t="s">
        <v>28</v>
      </c>
      <c r="B23" s="20"/>
      <c r="C23" s="20"/>
      <c r="D23" s="20"/>
      <c r="E23" s="20"/>
      <c r="F23" s="20"/>
      <c r="G23" s="21" t="n">
        <f aca="false">MIN(G15,G4)</f>
        <v>33.5</v>
      </c>
    </row>
    <row r="24" customFormat="false" ht="15" hidden="false" customHeight="false" outlineLevel="0" collapsed="false">
      <c r="A24" s="20" t="s">
        <v>29</v>
      </c>
      <c r="B24" s="20"/>
      <c r="C24" s="20"/>
      <c r="D24" s="20"/>
      <c r="E24" s="20"/>
      <c r="F24" s="20"/>
      <c r="G24" s="21" t="n">
        <f aca="false">MAX(0,G15-G4)</f>
        <v>0</v>
      </c>
    </row>
    <row r="25" customFormat="false" ht="15" hidden="false" customHeight="false" outlineLevel="0" collapsed="false">
      <c r="A25" s="20" t="s">
        <v>30</v>
      </c>
      <c r="B25" s="20"/>
      <c r="C25" s="20"/>
      <c r="D25" s="20"/>
      <c r="E25" s="20"/>
      <c r="F25" s="20"/>
      <c r="G25" s="21" t="n">
        <f aca="false">G20</f>
        <v>3</v>
      </c>
    </row>
    <row r="26" customFormat="false" ht="15" hidden="false" customHeight="false" outlineLevel="0" collapsed="false">
      <c r="A26" s="9" t="s">
        <v>31</v>
      </c>
      <c r="B26" s="9"/>
      <c r="C26" s="9"/>
      <c r="D26" s="9"/>
      <c r="E26" s="9"/>
      <c r="F26" s="9"/>
      <c r="G26" s="22" t="n">
        <f aca="false">G15+G20</f>
        <v>36.5</v>
      </c>
    </row>
    <row r="29" customFormat="false" ht="15" hidden="false" customHeight="false" outlineLevel="0" collapsed="false">
      <c r="A29" s="23" t="s">
        <v>32</v>
      </c>
      <c r="B29" s="24"/>
      <c r="C29" s="24"/>
      <c r="D29" s="24"/>
      <c r="E29" s="23" t="s">
        <v>9</v>
      </c>
      <c r="F29" s="24"/>
      <c r="G29" s="24"/>
    </row>
    <row r="31" customFormat="false" ht="15" hidden="false" customHeight="false" outlineLevel="0" collapsed="false">
      <c r="A31" s="23" t="s">
        <v>33</v>
      </c>
      <c r="B31" s="24"/>
      <c r="C31" s="24"/>
      <c r="D31" s="24"/>
      <c r="E31" s="23" t="s">
        <v>9</v>
      </c>
      <c r="F31" s="24"/>
      <c r="G31" s="24"/>
    </row>
    <row r="33" customFormat="false" ht="15" hidden="false" customHeight="false" outlineLevel="0" collapsed="false">
      <c r="A33" s="25" t="s">
        <v>34</v>
      </c>
    </row>
  </sheetData>
  <mergeCells count="13">
    <mergeCell ref="A2:H2"/>
    <mergeCell ref="A4:B4"/>
    <mergeCell ref="E4:F4"/>
    <mergeCell ref="A5:B5"/>
    <mergeCell ref="E5:F5"/>
    <mergeCell ref="A6:B6"/>
    <mergeCell ref="E6:F6"/>
    <mergeCell ref="A15:F15"/>
    <mergeCell ref="A20:F20"/>
    <mergeCell ref="A23:F23"/>
    <mergeCell ref="A24:F24"/>
    <mergeCell ref="A25:F25"/>
    <mergeCell ref="A26:F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2026-10-08T19:06:22Z</dcterms:created>
  <dc:creator>openpyxl</dc:creator>
  <dc:description/>
  <dc:language>en-US</dc:language>
  <cp:lastModifiedBy/>
  <dcterms:modified xsi:type="dcterms:W3CDTF">2026-10-08T19:06:22Z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
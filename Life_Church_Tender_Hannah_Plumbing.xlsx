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nder" sheetId="1" state="visible" r:id="rId1"/>
    <sheet name="Build-up" sheetId="2" state="visible" r:id="rId2"/>
    <sheet name="Materials" sheetId="3" state="visible" r:id="rId3"/>
    <sheet name="Qualifications" sheetId="4" state="visible" r:id="rId4"/>
  </sheets>
  <definedNames>
    <definedName name="_xlnm._FilterDatabase" localSheetId="2" hidden="1">'Materials'!$A$3:$G$165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  <font>
      <b val="1"/>
      <color rgb="00FFFFFF"/>
    </font>
    <font>
      <b val="1"/>
      <sz val="12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2" borderId="1" pivotButton="0" quotePrefix="0" xfId="0"/>
    <xf numFmtId="9" fontId="0" fillId="2" borderId="1" pivotButton="0" quotePrefix="0" xfId="0"/>
    <xf numFmtId="0" fontId="4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4" fontId="5" fillId="0" borderId="0" pivotButton="0" quotePrefix="0" xfId="0"/>
    <xf numFmtId="0" fontId="6" fillId="0" borderId="0" pivotButton="0" quotePrefix="0" xfId="0"/>
    <xf numFmtId="0" fontId="0" fillId="2" borderId="1" applyAlignment="1" pivotButton="0" quotePrefix="0" xfId="0">
      <alignment vertical="top" wrapText="1"/>
    </xf>
    <xf numFmtId="164" fontId="3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3" fillId="4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9" customWidth="1" min="1" max="1"/>
    <col width="62" customWidth="1" min="2" max="2"/>
    <col width="8" customWidth="1" min="3" max="3"/>
    <col width="6" customWidth="1" min="4" max="4"/>
    <col width="12" customWidth="1" min="5" max="5"/>
    <col width="13" customWidth="1" min="6" max="6"/>
    <col width="46" customWidth="1" min="7" max="7"/>
  </cols>
  <sheetData>
    <row r="1">
      <c r="A1" s="1" t="inlineStr">
        <is>
          <t>HANNAH PLUMBING &amp; HEATING LTD - TENDER RETURN</t>
        </is>
      </c>
    </row>
    <row r="2">
      <c r="A2" t="inlineStr">
        <is>
          <t>Life Church - Ground Floor Fit Out, 6-8 High Street, Paisley PA1 2YA  |  Main contractor: Woodvale Projects Ltd</t>
        </is>
      </c>
    </row>
    <row r="3">
      <c r="A3" s="2" t="inlineStr">
        <is>
          <t>Priced to BOQ Rev3 (Clarification No.2, 30/09/26). Plumbing &amp; drainage package. All prices exclude VAT (domestic reverse charge applies).</t>
        </is>
      </c>
    </row>
    <row r="5">
      <c r="A5" s="3" t="inlineStr">
        <is>
          <t>Pricing inputs (yellow cells are editable):</t>
        </is>
      </c>
    </row>
    <row r="6">
      <c r="A6" t="inlineStr">
        <is>
          <t>Labour rate per hour (£)</t>
        </is>
      </c>
      <c r="D6" s="4" t="n">
        <v>50</v>
      </c>
    </row>
    <row r="7">
      <c r="A7" t="inlineStr">
        <is>
          <t>Materials mark-up (%)</t>
        </is>
      </c>
      <c r="D7" s="5" t="n">
        <v>0.15</v>
      </c>
    </row>
    <row r="8">
      <c r="A8" t="inlineStr">
        <is>
          <t>Extra O&amp;P on labour (%) - 0% as hourly rate is the billed rate</t>
        </is>
      </c>
      <c r="D8" s="5" t="n">
        <v>0</v>
      </c>
    </row>
    <row r="10">
      <c r="A10" s="6" t="inlineStr">
        <is>
          <t>BOQ Ref</t>
        </is>
      </c>
      <c r="B10" s="6" t="inlineStr">
        <is>
          <t>Description</t>
        </is>
      </c>
      <c r="C10" s="6" t="inlineStr">
        <is>
          <t>Unit</t>
        </is>
      </c>
      <c r="D10" s="6" t="inlineStr">
        <is>
          <t>Qty</t>
        </is>
      </c>
      <c r="E10" s="6" t="inlineStr">
        <is>
          <t>Rate (£)</t>
        </is>
      </c>
      <c r="F10" s="6" t="inlineStr">
        <is>
          <t>Total (£)</t>
        </is>
      </c>
      <c r="G10" s="6" t="inlineStr">
        <is>
          <t>Notes / Qualifications</t>
        </is>
      </c>
    </row>
    <row r="11">
      <c r="A11" s="7" t="inlineStr">
        <is>
          <t>P1</t>
        </is>
      </c>
      <c r="B11" s="7" t="inlineStr">
        <is>
          <t>Plumbing preliminaries - RAMS, site set-up, travel/parking (Paisley town centre), consumables</t>
        </is>
      </c>
      <c r="C11" s="7" t="inlineStr">
        <is>
          <t>item</t>
        </is>
      </c>
      <c r="D11" s="7" t="n">
        <v>1</v>
      </c>
      <c r="E11" s="8">
        <f>INDEX('Build-up'!$H:$H,MATCH(A11,'Build-up'!$A:$A,0))</f>
        <v/>
      </c>
      <c r="F11" s="8">
        <f>D11*E11</f>
        <v/>
      </c>
      <c r="G11" s="7" t="inlineStr"/>
    </row>
    <row r="12">
      <c r="A12" s="7" t="inlineStr">
        <is>
          <t>2.12</t>
        </is>
      </c>
      <c r="B12" s="7" t="inlineStr">
        <is>
          <t>Disconnect, remove &amp; dispose of existing toilet, sink and plumbing pipework/fittings in WC's</t>
        </is>
      </c>
      <c r="C12" s="7" t="inlineStr">
        <is>
          <t>item</t>
        </is>
      </c>
      <c r="D12" s="7" t="n">
        <v>1</v>
      </c>
      <c r="E12" s="8">
        <f>INDEX('Build-up'!$H:$H,MATCH(A12,'Build-up'!$A:$A,0))</f>
        <v/>
      </c>
      <c r="F12" s="8">
        <f>D12*E12</f>
        <v/>
      </c>
      <c r="G12" s="7" t="inlineStr"/>
    </row>
    <row r="13">
      <c r="A13" s="7" t="inlineStr">
        <is>
          <t>2.13</t>
        </is>
      </c>
      <c r="B13" s="7" t="inlineStr">
        <is>
          <t>Terminate and cap building services as required (plumbing services only)</t>
        </is>
      </c>
      <c r="C13" s="7" t="inlineStr">
        <is>
          <t>item</t>
        </is>
      </c>
      <c r="D13" s="7" t="n">
        <v>1</v>
      </c>
      <c r="E13" s="8">
        <f>INDEX('Build-up'!$H:$H,MATCH(A13,'Build-up'!$A:$A,0))</f>
        <v/>
      </c>
      <c r="F13" s="8">
        <f>D13*E13</f>
        <v/>
      </c>
      <c r="G13" s="7" t="inlineStr">
        <is>
          <t>Electrical by others</t>
        </is>
      </c>
    </row>
    <row r="14">
      <c r="A14" s="7" t="inlineStr">
        <is>
          <t>14.01</t>
        </is>
      </c>
      <c r="B14" s="7" t="inlineStr">
        <is>
          <t>WC adjacent to kitchen - supply &amp; install sanitaryware (soft-close WC, standalone basin)</t>
        </is>
      </c>
      <c r="C14" s="7" t="inlineStr">
        <is>
          <t>Budget</t>
        </is>
      </c>
      <c r="D14" s="7" t="n">
        <v>1</v>
      </c>
      <c r="E14" s="8">
        <f>INDEX('Build-up'!$H:$H,MATCH(A14,'Build-up'!$A:$A,0))</f>
        <v/>
      </c>
      <c r="F14" s="8">
        <f>D14*E14</f>
        <v/>
      </c>
      <c r="G14" s="7" t="inlineStr">
        <is>
          <t>Standard commercial range (Twyford/Armitage Shanks or equal)</t>
        </is>
      </c>
    </row>
    <row r="15">
      <c r="A15" s="7" t="inlineStr">
        <is>
          <t>14.03</t>
        </is>
      </c>
      <c r="B15" s="7" t="inlineStr">
        <is>
          <t>Soap dispenser attached to wall</t>
        </is>
      </c>
      <c r="C15" s="7" t="inlineStr">
        <is>
          <t>item</t>
        </is>
      </c>
      <c r="D15" s="7" t="n">
        <v>1</v>
      </c>
      <c r="E15" s="8">
        <f>INDEX('Build-up'!$H:$H,MATCH(A15,'Build-up'!$A:$A,0))</f>
        <v/>
      </c>
      <c r="F15" s="8">
        <f>D15*E15</f>
        <v/>
      </c>
      <c r="G15" s="7" t="inlineStr"/>
    </row>
    <row r="16">
      <c r="A16" s="7" t="inlineStr">
        <is>
          <t>14.05</t>
        </is>
      </c>
      <c r="B16" s="7" t="inlineStr">
        <is>
          <t>WC adjacent to rear staircase - supply &amp; install sanitaryware (soft-close WC, standalone basin)</t>
        </is>
      </c>
      <c r="C16" s="7" t="inlineStr">
        <is>
          <t>Budget</t>
        </is>
      </c>
      <c r="D16" s="7" t="n">
        <v>1</v>
      </c>
      <c r="E16" s="8">
        <f>INDEX('Build-up'!$H:$H,MATCH(A16,'Build-up'!$A:$A,0))</f>
        <v/>
      </c>
      <c r="F16" s="8">
        <f>D16*E16</f>
        <v/>
      </c>
      <c r="G16" s="7" t="inlineStr">
        <is>
          <t>Standard commercial range</t>
        </is>
      </c>
    </row>
    <row r="17">
      <c r="A17" s="7" t="inlineStr">
        <is>
          <t>14.07</t>
        </is>
      </c>
      <c r="B17" s="7" t="inlineStr">
        <is>
          <t>Soap dispenser attached to wall</t>
        </is>
      </c>
      <c r="C17" s="7" t="inlineStr">
        <is>
          <t>item</t>
        </is>
      </c>
      <c r="D17" s="7" t="n">
        <v>1</v>
      </c>
      <c r="E17" s="8">
        <f>INDEX('Build-up'!$H:$H,MATCH(A17,'Build-up'!$A:$A,0))</f>
        <v/>
      </c>
      <c r="F17" s="8">
        <f>D17*E17</f>
        <v/>
      </c>
      <c r="G17" s="7" t="inlineStr"/>
    </row>
    <row r="18">
      <c r="A18" s="7" t="inlineStr">
        <is>
          <t>14.10</t>
        </is>
      </c>
      <c r="B18" s="7" t="inlineStr">
        <is>
          <t>Accessible WC (cafe) - Doc M service pack, supply &amp; install</t>
        </is>
      </c>
      <c r="C18" s="7" t="inlineStr">
        <is>
          <t>item</t>
        </is>
      </c>
      <c r="D18" s="7" t="n">
        <v>1</v>
      </c>
      <c r="E18" s="8">
        <f>INDEX('Build-up'!$H:$H,MATCH(A18,'Build-up'!$A:$A,0))</f>
        <v/>
      </c>
      <c r="F18" s="8">
        <f>D18*E18</f>
        <v/>
      </c>
      <c r="G18" s="7" t="inlineStr">
        <is>
          <t>Doc M pack incl. rails, basin, lever tap</t>
        </is>
      </c>
    </row>
    <row r="19">
      <c r="A19" s="7" t="inlineStr">
        <is>
          <t>14.11</t>
        </is>
      </c>
      <c r="B19" s="7" t="inlineStr">
        <is>
          <t>Accessible WC - wall-hung pan: concealed frame &amp; cistern (extra over Doc M pack)</t>
        </is>
      </c>
      <c r="C19" s="7" t="inlineStr">
        <is>
          <t>Budget</t>
        </is>
      </c>
      <c r="D19" s="7" t="n">
        <v>1</v>
      </c>
      <c r="E19" s="8">
        <f>INDEX('Build-up'!$H:$H,MATCH(A19,'Build-up'!$A:$A,0))</f>
        <v/>
      </c>
      <c r="F19" s="8">
        <f>D19*E19</f>
        <v/>
      </c>
      <c r="G19" s="7" t="inlineStr">
        <is>
          <t>Omit if close-coupled Doc M pan acceptable</t>
        </is>
      </c>
    </row>
    <row r="20">
      <c r="A20" s="7" t="inlineStr">
        <is>
          <t>14.14</t>
        </is>
      </c>
      <c r="B20" s="7" t="inlineStr">
        <is>
          <t>Soap dispenser attached to wall</t>
        </is>
      </c>
      <c r="C20" s="7" t="inlineStr">
        <is>
          <t>item</t>
        </is>
      </c>
      <c r="D20" s="7" t="n">
        <v>1</v>
      </c>
      <c r="E20" s="8">
        <f>INDEX('Build-up'!$H:$H,MATCH(A20,'Build-up'!$A:$A,0))</f>
        <v/>
      </c>
      <c r="F20" s="8">
        <f>D20*E20</f>
        <v/>
      </c>
      <c r="G20" s="7" t="inlineStr"/>
    </row>
    <row r="21">
      <c r="A21" s="7" t="inlineStr">
        <is>
          <t>15.01</t>
        </is>
      </c>
      <c r="B21" s="7" t="inlineStr">
        <is>
          <t>Drainage above ground - accessible WC (WC &amp; basin) incl. NEW 110mm SVP, AAV &amp; access</t>
        </is>
      </c>
      <c r="C21" s="7" t="inlineStr">
        <is>
          <t>item</t>
        </is>
      </c>
      <c r="D21" s="7" t="n">
        <v>1</v>
      </c>
      <c r="E21" s="8">
        <f>INDEX('Build-up'!$H:$H,MATCH(A21,'Build-up'!$A:$A,0))</f>
        <v/>
      </c>
      <c r="F21" s="8">
        <f>D21*E21</f>
        <v/>
      </c>
      <c r="G21" s="7" t="inlineStr"/>
    </row>
    <row r="22">
      <c r="A22" s="7" t="inlineStr">
        <is>
          <t>15.02</t>
        </is>
      </c>
      <c r="B22" s="7" t="inlineStr">
        <is>
          <t>Drainage above ground - WC facilities (WC &amp; basin) into existing SVP</t>
        </is>
      </c>
      <c r="C22" s="7" t="inlineStr">
        <is>
          <t>item</t>
        </is>
      </c>
      <c r="D22" s="7" t="n">
        <v>1</v>
      </c>
      <c r="E22" s="8">
        <f>INDEX('Build-up'!$H:$H,MATCH(A22,'Build-up'!$A:$A,0))</f>
        <v/>
      </c>
      <c r="F22" s="8">
        <f>D22*E22</f>
        <v/>
      </c>
      <c r="G22" s="7" t="inlineStr">
        <is>
          <t>Assumes existing SVP sound; connection to cast iron via transition coupling</t>
        </is>
      </c>
    </row>
    <row r="23">
      <c r="A23" s="7" t="inlineStr">
        <is>
          <t>15.03</t>
        </is>
      </c>
      <c r="B23" s="7" t="inlineStr">
        <is>
          <t>Drainage above ground - kitchen (sink, WHB, dishwasher) into existing SVP</t>
        </is>
      </c>
      <c r="C23" s="7" t="inlineStr">
        <is>
          <t>P.Sum</t>
        </is>
      </c>
      <c r="D23" s="7" t="n">
        <v>1</v>
      </c>
      <c r="E23" s="8">
        <f>INDEX('Build-up'!$H:$H,MATCH(A23,'Build-up'!$A:$A,0))</f>
        <v/>
      </c>
      <c r="F23" s="8">
        <f>D23*E23</f>
        <v/>
      </c>
      <c r="G23" s="7" t="inlineStr">
        <is>
          <t>Grease trap supply EXCLUDED - connections only allowed</t>
        </is>
      </c>
    </row>
    <row r="24">
      <c r="A24" s="7" t="inlineStr">
        <is>
          <t>15.04</t>
        </is>
      </c>
      <c r="B24" s="7" t="inlineStr">
        <is>
          <t>Testing &amp; commissioning of H&amp;C water installations incl. chlorination &amp; certificate</t>
        </is>
      </c>
      <c r="C24" s="7" t="inlineStr">
        <is>
          <t>item</t>
        </is>
      </c>
      <c r="D24" s="7" t="n">
        <v>1</v>
      </c>
      <c r="E24" s="8">
        <f>INDEX('Build-up'!$H:$H,MATCH(A24,'Build-up'!$A:$A,0))</f>
        <v/>
      </c>
      <c r="F24" s="8">
        <f>D24*E24</f>
        <v/>
      </c>
      <c r="G24" s="7" t="inlineStr">
        <is>
          <t>Chlorination to BS EN 806 / L8 with lab sample</t>
        </is>
      </c>
    </row>
    <row r="25">
      <c r="A25" s="7" t="inlineStr">
        <is>
          <t>16.03</t>
        </is>
      </c>
      <c r="B25" s="7" t="inlineStr">
        <is>
          <t>Hot &amp; cold water installation - accessible WC</t>
        </is>
      </c>
      <c r="C25" s="7" t="inlineStr">
        <is>
          <t>item</t>
        </is>
      </c>
      <c r="D25" s="7" t="n">
        <v>1</v>
      </c>
      <c r="E25" s="8">
        <f>INDEX('Build-up'!$H:$H,MATCH(A25,'Build-up'!$A:$A,0))</f>
        <v/>
      </c>
      <c r="F25" s="8">
        <f>D25*E25</f>
        <v/>
      </c>
      <c r="G25" s="7" t="inlineStr">
        <is>
          <t>Incl. TMV3, isolation, insulation</t>
        </is>
      </c>
    </row>
    <row r="26">
      <c r="A26" s="7" t="inlineStr">
        <is>
          <t>16.04</t>
        </is>
      </c>
      <c r="B26" s="7" t="inlineStr">
        <is>
          <t>Hot &amp; cold water installation - WC (rear stair)</t>
        </is>
      </c>
      <c r="C26" s="7" t="inlineStr">
        <is>
          <t>item</t>
        </is>
      </c>
      <c r="D26" s="7" t="n">
        <v>1</v>
      </c>
      <c r="E26" s="8">
        <f>INDEX('Build-up'!$H:$H,MATCH(A26,'Build-up'!$A:$A,0))</f>
        <v/>
      </c>
      <c r="F26" s="8">
        <f>D26*E26</f>
        <v/>
      </c>
      <c r="G26" s="7" t="inlineStr">
        <is>
          <t>Incl. TMV3, isolation, insulation</t>
        </is>
      </c>
    </row>
    <row r="27">
      <c r="A27" s="7" t="inlineStr">
        <is>
          <t>16.05</t>
        </is>
      </c>
      <c r="B27" s="7" t="inlineStr">
        <is>
          <t>Hot &amp; cold water installation - WC (adj. kitchen)</t>
        </is>
      </c>
      <c r="C27" s="7" t="inlineStr">
        <is>
          <t>item</t>
        </is>
      </c>
      <c r="D27" s="7" t="n">
        <v>1</v>
      </c>
      <c r="E27" s="8">
        <f>INDEX('Build-up'!$H:$H,MATCH(A27,'Build-up'!$A:$A,0))</f>
        <v/>
      </c>
      <c r="F27" s="8">
        <f>D27*E27</f>
        <v/>
      </c>
      <c r="G27" s="7" t="inlineStr">
        <is>
          <t>Incl. TMV3, isolation, insulation</t>
        </is>
      </c>
    </row>
    <row r="28">
      <c r="A28" s="7" t="inlineStr">
        <is>
          <t>16.06</t>
        </is>
      </c>
      <c r="B28" s="7" t="inlineStr">
        <is>
          <t>Hot &amp; cold water installation - kitchen facility (sink, WHB, dishwasher points)</t>
        </is>
      </c>
      <c r="C28" s="7" t="inlineStr">
        <is>
          <t>item</t>
        </is>
      </c>
      <c r="D28" s="7" t="n">
        <v>1</v>
      </c>
      <c r="E28" s="8">
        <f>INDEX('Build-up'!$H:$H,MATCH(A28,'Build-up'!$A:$A,0))</f>
        <v/>
      </c>
      <c r="F28" s="8">
        <f>D28*E28</f>
        <v/>
      </c>
      <c r="G28" s="7" t="inlineStr">
        <is>
          <t>WH04 excluded per BOQ</t>
        </is>
      </c>
    </row>
    <row r="29">
      <c r="A29" s="7" t="inlineStr">
        <is>
          <t>16.14</t>
        </is>
      </c>
      <c r="B29" s="7" t="inlineStr">
        <is>
          <t>Water heater WH01 - HYCO IN30T 3kW, supply &amp; install incl. expansion controls per detail</t>
        </is>
      </c>
      <c r="C29" s="7" t="inlineStr">
        <is>
          <t>item</t>
        </is>
      </c>
      <c r="D29" s="7" t="n">
        <v>1</v>
      </c>
      <c r="E29" s="8">
        <f>INDEX('Build-up'!$H:$H,MATCH(A29,'Build-up'!$A:$A,0))</f>
        <v/>
      </c>
      <c r="F29" s="8">
        <f>D29*E29</f>
        <v/>
      </c>
      <c r="G29" s="7" t="inlineStr">
        <is>
          <t>Electrical supply/isolator by electrician (BOQ 17.04)</t>
        </is>
      </c>
    </row>
    <row r="30">
      <c r="A30" s="7" t="inlineStr">
        <is>
          <t>18.42</t>
        </is>
      </c>
      <c r="B30" s="7" t="inlineStr">
        <is>
          <t>Water heater WH02 - HYCO IN30T 3kW (BOQ numbering error - should read 16.15)</t>
        </is>
      </c>
      <c r="C30" s="7" t="inlineStr">
        <is>
          <t>item</t>
        </is>
      </c>
      <c r="D30" s="7" t="n">
        <v>1</v>
      </c>
      <c r="E30" s="8">
        <f>INDEX('Build-up'!$H:$H,MATCH(A30,'Build-up'!$A:$A,0))</f>
        <v/>
      </c>
      <c r="F30" s="8">
        <f>D30*E30</f>
        <v/>
      </c>
      <c r="G30" s="7" t="inlineStr"/>
    </row>
    <row r="31">
      <c r="A31" s="7" t="inlineStr">
        <is>
          <t>16.15</t>
        </is>
      </c>
      <c r="B31" s="7" t="inlineStr">
        <is>
          <t>Water heater WH03 - HYCO IN30T 3kW, supply &amp; install incl. expansion controls per detail</t>
        </is>
      </c>
      <c r="C31" s="7" t="inlineStr">
        <is>
          <t>item</t>
        </is>
      </c>
      <c r="D31" s="7" t="n">
        <v>1</v>
      </c>
      <c r="E31" s="8">
        <f>INDEX('Build-up'!$H:$H,MATCH(A31,'Build-up'!$A:$A,0))</f>
        <v/>
      </c>
      <c r="F31" s="8">
        <f>D31*E31</f>
        <v/>
      </c>
      <c r="G31" s="7" t="inlineStr"/>
    </row>
    <row r="32">
      <c r="A32" s="7" t="inlineStr">
        <is>
          <t>16.17</t>
        </is>
      </c>
      <c r="B32" s="7" t="inlineStr">
        <is>
          <t>Testing &amp; commissioning of mechanical (plumbing) services</t>
        </is>
      </c>
      <c r="C32" s="7" t="inlineStr">
        <is>
          <t>item</t>
        </is>
      </c>
      <c r="D32" s="7" t="n">
        <v>1</v>
      </c>
      <c r="E32" s="8">
        <f>INDEX('Build-up'!$H:$H,MATCH(A32,'Build-up'!$A:$A,0))</f>
        <v/>
      </c>
      <c r="F32" s="8">
        <f>D32*E32</f>
        <v/>
      </c>
      <c r="G32" s="7" t="inlineStr">
        <is>
          <t>Pressure test &amp; commissioning heaters/TMVs</t>
        </is>
      </c>
    </row>
    <row r="34">
      <c r="E34" s="3" t="inlineStr">
        <is>
          <t>TENDER TOTAL</t>
        </is>
      </c>
      <c r="F34" s="9">
        <f>SUM(F11:F32)</f>
        <v/>
      </c>
    </row>
    <row r="35">
      <c r="E35" t="inlineStr">
        <is>
          <t>Total labour hours</t>
        </is>
      </c>
      <c r="F35">
        <f>SUM('Build-up'!C:C)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10" customWidth="1" min="3" max="3"/>
    <col width="12" customWidth="1" min="4" max="4"/>
    <col width="14" customWidth="1" min="5" max="5"/>
    <col width="16" customWidth="1" min="6" max="6"/>
    <col width="15" customWidth="1" min="7" max="7"/>
    <col width="13" customWidth="1" min="8" max="8"/>
  </cols>
  <sheetData>
    <row r="1">
      <c r="A1" s="10" t="inlineStr">
        <is>
          <t>Price build-up per BOQ item</t>
        </is>
      </c>
    </row>
    <row r="3">
      <c r="A3" s="6" t="inlineStr">
        <is>
          <t>BOQ Ref</t>
        </is>
      </c>
      <c r="B3" s="6" t="inlineStr">
        <is>
          <t>Description</t>
        </is>
      </c>
      <c r="C3" s="6" t="inlineStr">
        <is>
          <t>Labour hours</t>
        </is>
      </c>
      <c r="D3" s="6" t="inlineStr">
        <is>
          <t>Labour (£)</t>
        </is>
      </c>
      <c r="E3" s="6" t="inlineStr">
        <is>
          <t>Materials net (£)</t>
        </is>
      </c>
      <c r="F3" s="6" t="inlineStr">
        <is>
          <t>Materials inc. mark-up (£)</t>
        </is>
      </c>
      <c r="G3" s="6" t="inlineStr">
        <is>
          <t>Labour inc. O&amp;P (£)</t>
        </is>
      </c>
      <c r="H3" s="6" t="inlineStr">
        <is>
          <t>Item price (£)</t>
        </is>
      </c>
    </row>
    <row r="4">
      <c r="A4" s="7" t="inlineStr">
        <is>
          <t>P1</t>
        </is>
      </c>
      <c r="B4" s="7" t="inlineStr">
        <is>
          <t>Plumbing preliminaries - RAMS, site set-up, travel/parking (Paisley town centre), consumables</t>
        </is>
      </c>
      <c r="C4" s="11" t="n">
        <v>4</v>
      </c>
      <c r="D4" s="8">
        <f>C4*Tender!$D$6</f>
        <v/>
      </c>
      <c r="E4" s="8">
        <f>SUMIF(Materials!$A:$A,A4,Materials!$G:$G)</f>
        <v/>
      </c>
      <c r="F4" s="8">
        <f>E4*(1+Tender!$D$7)</f>
        <v/>
      </c>
      <c r="G4" s="8">
        <f>D4*(1+Tender!$D$8)</f>
        <v/>
      </c>
      <c r="H4" s="8">
        <f>ROUND(F4+G4,0)</f>
        <v/>
      </c>
    </row>
    <row r="5">
      <c r="A5" s="7" t="inlineStr">
        <is>
          <t>2.12</t>
        </is>
      </c>
      <c r="B5" s="7" t="inlineStr">
        <is>
          <t>Disconnect, remove &amp; dispose of existing toilet, sink and plumbing pipework/fittings in WC's</t>
        </is>
      </c>
      <c r="C5" s="11" t="n">
        <v>8</v>
      </c>
      <c r="D5" s="8">
        <f>C5*Tender!$D$6</f>
        <v/>
      </c>
      <c r="E5" s="8">
        <f>SUMIF(Materials!$A:$A,A5,Materials!$G:$G)</f>
        <v/>
      </c>
      <c r="F5" s="8">
        <f>E5*(1+Tender!$D$7)</f>
        <v/>
      </c>
      <c r="G5" s="8">
        <f>D5*(1+Tender!$D$8)</f>
        <v/>
      </c>
      <c r="H5" s="8">
        <f>ROUND(F5+G5,0)</f>
        <v/>
      </c>
    </row>
    <row r="6">
      <c r="A6" s="7" t="inlineStr">
        <is>
          <t>2.13</t>
        </is>
      </c>
      <c r="B6" s="7" t="inlineStr">
        <is>
          <t>Terminate and cap building services as required (plumbing services only)</t>
        </is>
      </c>
      <c r="C6" s="11" t="n">
        <v>4</v>
      </c>
      <c r="D6" s="8">
        <f>C6*Tender!$D$6</f>
        <v/>
      </c>
      <c r="E6" s="8">
        <f>SUMIF(Materials!$A:$A,A6,Materials!$G:$G)</f>
        <v/>
      </c>
      <c r="F6" s="8">
        <f>E6*(1+Tender!$D$7)</f>
        <v/>
      </c>
      <c r="G6" s="8">
        <f>D6*(1+Tender!$D$8)</f>
        <v/>
      </c>
      <c r="H6" s="8">
        <f>ROUND(F6+G6,0)</f>
        <v/>
      </c>
    </row>
    <row r="7">
      <c r="A7" s="7" t="inlineStr">
        <is>
          <t>14.01</t>
        </is>
      </c>
      <c r="B7" s="7" t="inlineStr">
        <is>
          <t>WC adjacent to kitchen - supply &amp; install sanitaryware (soft-close WC, standalone basin)</t>
        </is>
      </c>
      <c r="C7" s="11" t="n">
        <v>6</v>
      </c>
      <c r="D7" s="8">
        <f>C7*Tender!$D$6</f>
        <v/>
      </c>
      <c r="E7" s="8">
        <f>SUMIF(Materials!$A:$A,A7,Materials!$G:$G)</f>
        <v/>
      </c>
      <c r="F7" s="8">
        <f>E7*(1+Tender!$D$7)</f>
        <v/>
      </c>
      <c r="G7" s="8">
        <f>D7*(1+Tender!$D$8)</f>
        <v/>
      </c>
      <c r="H7" s="8">
        <f>ROUND(F7+G7,0)</f>
        <v/>
      </c>
    </row>
    <row r="8">
      <c r="A8" s="7" t="inlineStr">
        <is>
          <t>14.03</t>
        </is>
      </c>
      <c r="B8" s="7" t="inlineStr">
        <is>
          <t>Soap dispenser attached to wall</t>
        </is>
      </c>
      <c r="C8" s="11" t="n">
        <v>0.8</v>
      </c>
      <c r="D8" s="8">
        <f>C8*Tender!$D$6</f>
        <v/>
      </c>
      <c r="E8" s="8">
        <f>SUMIF(Materials!$A:$A,A8,Materials!$G:$G)</f>
        <v/>
      </c>
      <c r="F8" s="8">
        <f>E8*(1+Tender!$D$7)</f>
        <v/>
      </c>
      <c r="G8" s="8">
        <f>D8*(1+Tender!$D$8)</f>
        <v/>
      </c>
      <c r="H8" s="8">
        <f>ROUND(F8+G8,0)</f>
        <v/>
      </c>
    </row>
    <row r="9">
      <c r="A9" s="7" t="inlineStr">
        <is>
          <t>14.05</t>
        </is>
      </c>
      <c r="B9" s="7" t="inlineStr">
        <is>
          <t>WC adjacent to rear staircase - supply &amp; install sanitaryware (soft-close WC, standalone basin)</t>
        </is>
      </c>
      <c r="C9" s="11" t="n">
        <v>6</v>
      </c>
      <c r="D9" s="8">
        <f>C9*Tender!$D$6</f>
        <v/>
      </c>
      <c r="E9" s="8">
        <f>SUMIF(Materials!$A:$A,A9,Materials!$G:$G)</f>
        <v/>
      </c>
      <c r="F9" s="8">
        <f>E9*(1+Tender!$D$7)</f>
        <v/>
      </c>
      <c r="G9" s="8">
        <f>D9*(1+Tender!$D$8)</f>
        <v/>
      </c>
      <c r="H9" s="8">
        <f>ROUND(F9+G9,0)</f>
        <v/>
      </c>
    </row>
    <row r="10">
      <c r="A10" s="7" t="inlineStr">
        <is>
          <t>14.07</t>
        </is>
      </c>
      <c r="B10" s="7" t="inlineStr">
        <is>
          <t>Soap dispenser attached to wall</t>
        </is>
      </c>
      <c r="C10" s="11" t="n">
        <v>0.8</v>
      </c>
      <c r="D10" s="8">
        <f>C10*Tender!$D$6</f>
        <v/>
      </c>
      <c r="E10" s="8">
        <f>SUMIF(Materials!$A:$A,A10,Materials!$G:$G)</f>
        <v/>
      </c>
      <c r="F10" s="8">
        <f>E10*(1+Tender!$D$7)</f>
        <v/>
      </c>
      <c r="G10" s="8">
        <f>D10*(1+Tender!$D$8)</f>
        <v/>
      </c>
      <c r="H10" s="8">
        <f>ROUND(F10+G10,0)</f>
        <v/>
      </c>
    </row>
    <row r="11">
      <c r="A11" s="7" t="inlineStr">
        <is>
          <t>14.10</t>
        </is>
      </c>
      <c r="B11" s="7" t="inlineStr">
        <is>
          <t>Accessible WC (cafe) - Doc M service pack, supply &amp; install</t>
        </is>
      </c>
      <c r="C11" s="11" t="n">
        <v>10</v>
      </c>
      <c r="D11" s="8">
        <f>C11*Tender!$D$6</f>
        <v/>
      </c>
      <c r="E11" s="8">
        <f>SUMIF(Materials!$A:$A,A11,Materials!$G:$G)</f>
        <v/>
      </c>
      <c r="F11" s="8">
        <f>E11*(1+Tender!$D$7)</f>
        <v/>
      </c>
      <c r="G11" s="8">
        <f>D11*(1+Tender!$D$8)</f>
        <v/>
      </c>
      <c r="H11" s="8">
        <f>ROUND(F11+G11,0)</f>
        <v/>
      </c>
    </row>
    <row r="12">
      <c r="A12" s="7" t="inlineStr">
        <is>
          <t>14.11</t>
        </is>
      </c>
      <c r="B12" s="7" t="inlineStr">
        <is>
          <t>Accessible WC - wall-hung pan: concealed frame &amp; cistern (extra over Doc M pack)</t>
        </is>
      </c>
      <c r="C12" s="11" t="n">
        <v>4</v>
      </c>
      <c r="D12" s="8">
        <f>C12*Tender!$D$6</f>
        <v/>
      </c>
      <c r="E12" s="8">
        <f>SUMIF(Materials!$A:$A,A12,Materials!$G:$G)</f>
        <v/>
      </c>
      <c r="F12" s="8">
        <f>E12*(1+Tender!$D$7)</f>
        <v/>
      </c>
      <c r="G12" s="8">
        <f>D12*(1+Tender!$D$8)</f>
        <v/>
      </c>
      <c r="H12" s="8">
        <f>ROUND(F12+G12,0)</f>
        <v/>
      </c>
    </row>
    <row r="13">
      <c r="A13" s="7" t="inlineStr">
        <is>
          <t>14.14</t>
        </is>
      </c>
      <c r="B13" s="7" t="inlineStr">
        <is>
          <t>Soap dispenser attached to wall</t>
        </is>
      </c>
      <c r="C13" s="11" t="n">
        <v>0.8</v>
      </c>
      <c r="D13" s="8">
        <f>C13*Tender!$D$6</f>
        <v/>
      </c>
      <c r="E13" s="8">
        <f>SUMIF(Materials!$A:$A,A13,Materials!$G:$G)</f>
        <v/>
      </c>
      <c r="F13" s="8">
        <f>E13*(1+Tender!$D$7)</f>
        <v/>
      </c>
      <c r="G13" s="8">
        <f>D13*(1+Tender!$D$8)</f>
        <v/>
      </c>
      <c r="H13" s="8">
        <f>ROUND(F13+G13,0)</f>
        <v/>
      </c>
    </row>
    <row r="14">
      <c r="A14" s="7" t="inlineStr">
        <is>
          <t>15.01</t>
        </is>
      </c>
      <c r="B14" s="7" t="inlineStr">
        <is>
          <t>Drainage above ground - accessible WC (WC &amp; basin) incl. NEW 110mm SVP, AAV &amp; access</t>
        </is>
      </c>
      <c r="C14" s="11" t="n">
        <v>16</v>
      </c>
      <c r="D14" s="8">
        <f>C14*Tender!$D$6</f>
        <v/>
      </c>
      <c r="E14" s="8">
        <f>SUMIF(Materials!$A:$A,A14,Materials!$G:$G)</f>
        <v/>
      </c>
      <c r="F14" s="8">
        <f>E14*(1+Tender!$D$7)</f>
        <v/>
      </c>
      <c r="G14" s="8">
        <f>D14*(1+Tender!$D$8)</f>
        <v/>
      </c>
      <c r="H14" s="8">
        <f>ROUND(F14+G14,0)</f>
        <v/>
      </c>
    </row>
    <row r="15">
      <c r="A15" s="7" t="inlineStr">
        <is>
          <t>15.02</t>
        </is>
      </c>
      <c r="B15" s="7" t="inlineStr">
        <is>
          <t>Drainage above ground - WC facilities (WC &amp; basin) into existing SVP</t>
        </is>
      </c>
      <c r="C15" s="11" t="n">
        <v>8</v>
      </c>
      <c r="D15" s="8">
        <f>C15*Tender!$D$6</f>
        <v/>
      </c>
      <c r="E15" s="8">
        <f>SUMIF(Materials!$A:$A,A15,Materials!$G:$G)</f>
        <v/>
      </c>
      <c r="F15" s="8">
        <f>E15*(1+Tender!$D$7)</f>
        <v/>
      </c>
      <c r="G15" s="8">
        <f>D15*(1+Tender!$D$8)</f>
        <v/>
      </c>
      <c r="H15" s="8">
        <f>ROUND(F15+G15,0)</f>
        <v/>
      </c>
    </row>
    <row r="16">
      <c r="A16" s="7" t="inlineStr">
        <is>
          <t>15.03</t>
        </is>
      </c>
      <c r="B16" s="7" t="inlineStr">
        <is>
          <t>Drainage above ground - kitchen (sink, WHB, dishwasher) into existing SVP</t>
        </is>
      </c>
      <c r="C16" s="11" t="n">
        <v>8</v>
      </c>
      <c r="D16" s="8">
        <f>C16*Tender!$D$6</f>
        <v/>
      </c>
      <c r="E16" s="8">
        <f>SUMIF(Materials!$A:$A,A16,Materials!$G:$G)</f>
        <v/>
      </c>
      <c r="F16" s="8">
        <f>E16*(1+Tender!$D$7)</f>
        <v/>
      </c>
      <c r="G16" s="8">
        <f>D16*(1+Tender!$D$8)</f>
        <v/>
      </c>
      <c r="H16" s="8">
        <f>ROUND(F16+G16,0)</f>
        <v/>
      </c>
    </row>
    <row r="17">
      <c r="A17" s="7" t="inlineStr">
        <is>
          <t>15.04</t>
        </is>
      </c>
      <c r="B17" s="7" t="inlineStr">
        <is>
          <t>Testing &amp; commissioning of H&amp;C water installations incl. chlorination &amp; certificate</t>
        </is>
      </c>
      <c r="C17" s="11" t="n">
        <v>4</v>
      </c>
      <c r="D17" s="8">
        <f>C17*Tender!$D$6</f>
        <v/>
      </c>
      <c r="E17" s="8">
        <f>SUMIF(Materials!$A:$A,A17,Materials!$G:$G)</f>
        <v/>
      </c>
      <c r="F17" s="8">
        <f>E17*(1+Tender!$D$7)</f>
        <v/>
      </c>
      <c r="G17" s="8">
        <f>D17*(1+Tender!$D$8)</f>
        <v/>
      </c>
      <c r="H17" s="8">
        <f>ROUND(F17+G17,0)</f>
        <v/>
      </c>
    </row>
    <row r="18">
      <c r="A18" s="7" t="inlineStr">
        <is>
          <t>16.03</t>
        </is>
      </c>
      <c r="B18" s="7" t="inlineStr">
        <is>
          <t>Hot &amp; cold water installation - accessible WC</t>
        </is>
      </c>
      <c r="C18" s="11" t="n">
        <v>8</v>
      </c>
      <c r="D18" s="8">
        <f>C18*Tender!$D$6</f>
        <v/>
      </c>
      <c r="E18" s="8">
        <f>SUMIF(Materials!$A:$A,A18,Materials!$G:$G)</f>
        <v/>
      </c>
      <c r="F18" s="8">
        <f>E18*(1+Tender!$D$7)</f>
        <v/>
      </c>
      <c r="G18" s="8">
        <f>D18*(1+Tender!$D$8)</f>
        <v/>
      </c>
      <c r="H18" s="8">
        <f>ROUND(F18+G18,0)</f>
        <v/>
      </c>
    </row>
    <row r="19">
      <c r="A19" s="7" t="inlineStr">
        <is>
          <t>16.04</t>
        </is>
      </c>
      <c r="B19" s="7" t="inlineStr">
        <is>
          <t>Hot &amp; cold water installation - WC (rear stair)</t>
        </is>
      </c>
      <c r="C19" s="11" t="n">
        <v>6</v>
      </c>
      <c r="D19" s="8">
        <f>C19*Tender!$D$6</f>
        <v/>
      </c>
      <c r="E19" s="8">
        <f>SUMIF(Materials!$A:$A,A19,Materials!$G:$G)</f>
        <v/>
      </c>
      <c r="F19" s="8">
        <f>E19*(1+Tender!$D$7)</f>
        <v/>
      </c>
      <c r="G19" s="8">
        <f>D19*(1+Tender!$D$8)</f>
        <v/>
      </c>
      <c r="H19" s="8">
        <f>ROUND(F19+G19,0)</f>
        <v/>
      </c>
    </row>
    <row r="20">
      <c r="A20" s="7" t="inlineStr">
        <is>
          <t>16.05</t>
        </is>
      </c>
      <c r="B20" s="7" t="inlineStr">
        <is>
          <t>Hot &amp; cold water installation - WC (adj. kitchen)</t>
        </is>
      </c>
      <c r="C20" s="11" t="n">
        <v>6</v>
      </c>
      <c r="D20" s="8">
        <f>C20*Tender!$D$6</f>
        <v/>
      </c>
      <c r="E20" s="8">
        <f>SUMIF(Materials!$A:$A,A20,Materials!$G:$G)</f>
        <v/>
      </c>
      <c r="F20" s="8">
        <f>E20*(1+Tender!$D$7)</f>
        <v/>
      </c>
      <c r="G20" s="8">
        <f>D20*(1+Tender!$D$8)</f>
        <v/>
      </c>
      <c r="H20" s="8">
        <f>ROUND(F20+G20,0)</f>
        <v/>
      </c>
    </row>
    <row r="21">
      <c r="A21" s="7" t="inlineStr">
        <is>
          <t>16.06</t>
        </is>
      </c>
      <c r="B21" s="7" t="inlineStr">
        <is>
          <t>Hot &amp; cold water installation - kitchen facility (sink, WHB, dishwasher points)</t>
        </is>
      </c>
      <c r="C21" s="11" t="n">
        <v>8</v>
      </c>
      <c r="D21" s="8">
        <f>C21*Tender!$D$6</f>
        <v/>
      </c>
      <c r="E21" s="8">
        <f>SUMIF(Materials!$A:$A,A21,Materials!$G:$G)</f>
        <v/>
      </c>
      <c r="F21" s="8">
        <f>E21*(1+Tender!$D$7)</f>
        <v/>
      </c>
      <c r="G21" s="8">
        <f>D21*(1+Tender!$D$8)</f>
        <v/>
      </c>
      <c r="H21" s="8">
        <f>ROUND(F21+G21,0)</f>
        <v/>
      </c>
    </row>
    <row r="22">
      <c r="A22" s="7" t="inlineStr">
        <is>
          <t>16.14</t>
        </is>
      </c>
      <c r="B22" s="7" t="inlineStr">
        <is>
          <t>Water heater WH01 - HYCO IN30T 3kW, supply &amp; install incl. expansion controls per detail</t>
        </is>
      </c>
      <c r="C22" s="11" t="n">
        <v>4</v>
      </c>
      <c r="D22" s="8">
        <f>C22*Tender!$D$6</f>
        <v/>
      </c>
      <c r="E22" s="8">
        <f>SUMIF(Materials!$A:$A,A22,Materials!$G:$G)</f>
        <v/>
      </c>
      <c r="F22" s="8">
        <f>E22*(1+Tender!$D$7)</f>
        <v/>
      </c>
      <c r="G22" s="8">
        <f>D22*(1+Tender!$D$8)</f>
        <v/>
      </c>
      <c r="H22" s="8">
        <f>ROUND(F22+G22,0)</f>
        <v/>
      </c>
    </row>
    <row r="23">
      <c r="A23" s="7" t="inlineStr">
        <is>
          <t>18.42</t>
        </is>
      </c>
      <c r="B23" s="7" t="inlineStr">
        <is>
          <t>Water heater WH02 - HYCO IN30T 3kW (BOQ numbering error - should read 16.15)</t>
        </is>
      </c>
      <c r="C23" s="11" t="n">
        <v>4</v>
      </c>
      <c r="D23" s="8">
        <f>C23*Tender!$D$6</f>
        <v/>
      </c>
      <c r="E23" s="8">
        <f>SUMIF(Materials!$A:$A,A23,Materials!$G:$G)</f>
        <v/>
      </c>
      <c r="F23" s="8">
        <f>E23*(1+Tender!$D$7)</f>
        <v/>
      </c>
      <c r="G23" s="8">
        <f>D23*(1+Tender!$D$8)</f>
        <v/>
      </c>
      <c r="H23" s="8">
        <f>ROUND(F23+G23,0)</f>
        <v/>
      </c>
    </row>
    <row r="24">
      <c r="A24" s="7" t="inlineStr">
        <is>
          <t>16.15</t>
        </is>
      </c>
      <c r="B24" s="7" t="inlineStr">
        <is>
          <t>Water heater WH03 - HYCO IN30T 3kW, supply &amp; install incl. expansion controls per detail</t>
        </is>
      </c>
      <c r="C24" s="11" t="n">
        <v>4</v>
      </c>
      <c r="D24" s="8">
        <f>C24*Tender!$D$6</f>
        <v/>
      </c>
      <c r="E24" s="8">
        <f>SUMIF(Materials!$A:$A,A24,Materials!$G:$G)</f>
        <v/>
      </c>
      <c r="F24" s="8">
        <f>E24*(1+Tender!$D$7)</f>
        <v/>
      </c>
      <c r="G24" s="8">
        <f>D24*(1+Tender!$D$8)</f>
        <v/>
      </c>
      <c r="H24" s="8">
        <f>ROUND(F24+G24,0)</f>
        <v/>
      </c>
    </row>
    <row r="25">
      <c r="A25" s="7" t="inlineStr">
        <is>
          <t>16.17</t>
        </is>
      </c>
      <c r="B25" s="7" t="inlineStr">
        <is>
          <t>Testing &amp; commissioning of mechanical (plumbing) services</t>
        </is>
      </c>
      <c r="C25" s="11" t="n">
        <v>4</v>
      </c>
      <c r="D25" s="8">
        <f>C25*Tender!$D$6</f>
        <v/>
      </c>
      <c r="E25" s="8">
        <f>SUMIF(Materials!$A:$A,A25,Materials!$G:$G)</f>
        <v/>
      </c>
      <c r="F25" s="8">
        <f>E25*(1+Tender!$D$7)</f>
        <v/>
      </c>
      <c r="G25" s="8">
        <f>D25*(1+Tender!$D$8)</f>
        <v/>
      </c>
      <c r="H25" s="8">
        <f>ROUND(F25+G25,0)</f>
        <v/>
      </c>
    </row>
    <row r="26">
      <c r="B26" s="3" t="inlineStr">
        <is>
          <t>TOTALS</t>
        </is>
      </c>
      <c r="C26" s="3">
        <f>SUM(C4:C25)</f>
        <v/>
      </c>
      <c r="D26" s="12">
        <f>SUM(D4:D25)</f>
        <v/>
      </c>
      <c r="E26" s="12">
        <f>SUM(E4:E25)</f>
        <v/>
      </c>
      <c r="F26" s="12">
        <f>SUM(F4:F25)</f>
        <v/>
      </c>
      <c r="G26" s="12">
        <f>SUM(G4:G25)</f>
        <v/>
      </c>
      <c r="H26" s="12">
        <f>SUM(H4:H25)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58" customWidth="1" min="3" max="3"/>
    <col width="6" customWidth="1" min="4" max="4"/>
    <col width="6" customWidth="1" min="5" max="5"/>
    <col width="11" customWidth="1" min="6" max="6"/>
    <col width="12" customWidth="1" min="7" max="7"/>
  </cols>
  <sheetData>
    <row r="1">
      <c r="A1" s="3" t="inlineStr">
        <is>
          <t>Materials take-off (from drawings E23025 (52) 001 BW3 &amp; (53) 001 BW2) - rates are ESTIMATED trade prices, check with merchant</t>
        </is>
      </c>
    </row>
    <row r="3">
      <c r="A3" s="6" t="inlineStr">
        <is>
          <t>BOQ Ref</t>
        </is>
      </c>
      <c r="B3" s="6" t="inlineStr">
        <is>
          <t>Section</t>
        </is>
      </c>
      <c r="C3" s="6" t="inlineStr">
        <is>
          <t>Item</t>
        </is>
      </c>
      <c r="D3" s="6" t="inlineStr">
        <is>
          <t>Qty</t>
        </is>
      </c>
      <c r="E3" s="6" t="inlineStr">
        <is>
          <t>Unit</t>
        </is>
      </c>
      <c r="F3" s="6" t="inlineStr">
        <is>
          <t>Rate (£)</t>
        </is>
      </c>
      <c r="G3" s="6" t="inlineStr">
        <is>
          <t>Total (£)</t>
        </is>
      </c>
    </row>
    <row r="4">
      <c r="A4" s="13" t="inlineStr">
        <is>
          <t>P1</t>
        </is>
      </c>
      <c r="B4" s="13" t="inlineStr">
        <is>
          <t>Hot &amp; cold water</t>
        </is>
      </c>
      <c r="C4" s="13" t="inlineStr">
        <is>
          <t>Consumables - solder, flux, PTFE, solvent cement, fixings</t>
        </is>
      </c>
      <c r="D4" s="13" t="n">
        <v>1</v>
      </c>
      <c r="E4" s="13" t="inlineStr">
        <is>
          <t>lot</t>
        </is>
      </c>
      <c r="F4" s="4" t="n">
        <v>150</v>
      </c>
      <c r="G4" s="14">
        <f>D4*F4</f>
        <v/>
      </c>
    </row>
    <row r="5">
      <c r="A5" s="13" t="inlineStr">
        <is>
          <t>P1</t>
        </is>
      </c>
      <c r="B5" s="13" t="inlineStr">
        <is>
          <t>General</t>
        </is>
      </c>
      <c r="C5" s="13" t="inlineStr">
        <is>
          <t>Parking / travel allowance</t>
        </is>
      </c>
      <c r="D5" s="13" t="n">
        <v>1</v>
      </c>
      <c r="E5" s="13" t="inlineStr">
        <is>
          <t>item</t>
        </is>
      </c>
      <c r="F5" s="4" t="n">
        <v>100</v>
      </c>
      <c r="G5" s="14">
        <f>D5*F5</f>
        <v/>
      </c>
    </row>
    <row r="6">
      <c r="A6" s="13" t="inlineStr">
        <is>
          <t>2.12</t>
        </is>
      </c>
      <c r="B6" s="13" t="inlineStr">
        <is>
          <t>Drainage</t>
        </is>
      </c>
      <c r="C6" s="13" t="inlineStr">
        <is>
          <t>110mm soil blanking caps</t>
        </is>
      </c>
      <c r="D6" s="13" t="n">
        <v>2</v>
      </c>
      <c r="E6" s="13" t="inlineStr">
        <is>
          <t>no</t>
        </is>
      </c>
      <c r="F6" s="4" t="n">
        <v>6</v>
      </c>
      <c r="G6" s="14">
        <f>D6*F6</f>
        <v/>
      </c>
    </row>
    <row r="7">
      <c r="A7" s="13" t="inlineStr">
        <is>
          <t>2.12</t>
        </is>
      </c>
      <c r="B7" s="13" t="inlineStr">
        <is>
          <t>Drainage</t>
        </is>
      </c>
      <c r="C7" s="13" t="inlineStr">
        <is>
          <t>Waste disposal / skip share - old sanitaryware</t>
        </is>
      </c>
      <c r="D7" s="13" t="n">
        <v>1</v>
      </c>
      <c r="E7" s="13" t="inlineStr">
        <is>
          <t>item</t>
        </is>
      </c>
      <c r="F7" s="4" t="n">
        <v>150</v>
      </c>
      <c r="G7" s="14">
        <f>D7*F7</f>
        <v/>
      </c>
    </row>
    <row r="8">
      <c r="A8" s="13" t="inlineStr">
        <is>
          <t>2.13</t>
        </is>
      </c>
      <c r="B8" s="13" t="inlineStr">
        <is>
          <t>Hot &amp; cold water</t>
        </is>
      </c>
      <c r="C8" s="13" t="inlineStr">
        <is>
          <t>Stop ends 15/22mm</t>
        </is>
      </c>
      <c r="D8" s="13" t="n">
        <v>8</v>
      </c>
      <c r="E8" s="13" t="inlineStr">
        <is>
          <t>no</t>
        </is>
      </c>
      <c r="F8" s="4" t="n">
        <v>3</v>
      </c>
      <c r="G8" s="14">
        <f>D8*F8</f>
        <v/>
      </c>
    </row>
    <row r="9">
      <c r="A9" s="13" t="inlineStr">
        <is>
          <t>14.01</t>
        </is>
      </c>
      <c r="B9" s="13" t="inlineStr">
        <is>
          <t>Drainage</t>
        </is>
      </c>
      <c r="C9" s="13" t="inlineStr">
        <is>
          <t>32mm bottle trap</t>
        </is>
      </c>
      <c r="D9" s="13" t="n">
        <v>1</v>
      </c>
      <c r="E9" s="13" t="inlineStr">
        <is>
          <t>no</t>
        </is>
      </c>
      <c r="F9" s="4" t="n">
        <v>8</v>
      </c>
      <c r="G9" s="14">
        <f>D9*F9</f>
        <v/>
      </c>
    </row>
    <row r="10">
      <c r="A10" s="13" t="inlineStr">
        <is>
          <t>14.01</t>
        </is>
      </c>
      <c r="B10" s="13" t="inlineStr">
        <is>
          <t>Sanitaryware</t>
        </is>
      </c>
      <c r="C10" s="13" t="inlineStr">
        <is>
          <t>Close-coupled WC pan, cistern &amp; soft-close seat (commercial)</t>
        </is>
      </c>
      <c r="D10" s="13" t="n">
        <v>1</v>
      </c>
      <c r="E10" s="13" t="inlineStr">
        <is>
          <t>no</t>
        </is>
      </c>
      <c r="F10" s="4" t="n">
        <v>180</v>
      </c>
      <c r="G10" s="14">
        <f>D10*F10</f>
        <v/>
      </c>
    </row>
    <row r="11">
      <c r="A11" s="13" t="inlineStr">
        <is>
          <t>14.01</t>
        </is>
      </c>
      <c r="B11" s="13" t="inlineStr">
        <is>
          <t>Sanitaryware</t>
        </is>
      </c>
      <c r="C11" s="13" t="inlineStr">
        <is>
          <t>Silicone, pan &amp; basin fixings</t>
        </is>
      </c>
      <c r="D11" s="13" t="n">
        <v>1</v>
      </c>
      <c r="E11" s="13" t="inlineStr">
        <is>
          <t>lot</t>
        </is>
      </c>
      <c r="F11" s="4" t="n">
        <v>15</v>
      </c>
      <c r="G11" s="14">
        <f>D11*F11</f>
        <v/>
      </c>
    </row>
    <row r="12">
      <c r="A12" s="13" t="inlineStr">
        <is>
          <t>14.01</t>
        </is>
      </c>
      <c r="B12" s="13" t="inlineStr">
        <is>
          <t>Drainage</t>
        </is>
      </c>
      <c r="C12" s="13" t="inlineStr">
        <is>
          <t>WC pan connector 110mm</t>
        </is>
      </c>
      <c r="D12" s="13" t="n">
        <v>1</v>
      </c>
      <c r="E12" s="13" t="inlineStr">
        <is>
          <t>no</t>
        </is>
      </c>
      <c r="F12" s="4" t="n">
        <v>10</v>
      </c>
      <c r="G12" s="14">
        <f>D12*F12</f>
        <v/>
      </c>
    </row>
    <row r="13">
      <c r="A13" s="13" t="inlineStr">
        <is>
          <t>14.01</t>
        </is>
      </c>
      <c r="B13" s="13" t="inlineStr">
        <is>
          <t>Sanitaryware</t>
        </is>
      </c>
      <c r="C13" s="13" t="inlineStr">
        <is>
          <t>Wash hand basin, tap &amp; fixings</t>
        </is>
      </c>
      <c r="D13" s="13" t="n">
        <v>1</v>
      </c>
      <c r="E13" s="13" t="inlineStr">
        <is>
          <t>no</t>
        </is>
      </c>
      <c r="F13" s="4" t="n">
        <v>150</v>
      </c>
      <c r="G13" s="14">
        <f>D13*F13</f>
        <v/>
      </c>
    </row>
    <row r="14">
      <c r="A14" s="13" t="inlineStr">
        <is>
          <t>14.03</t>
        </is>
      </c>
      <c r="B14" s="13" t="inlineStr">
        <is>
          <t>Sanitaryware</t>
        </is>
      </c>
      <c r="C14" s="13" t="inlineStr">
        <is>
          <t>Wall-mounted soap dispenser</t>
        </is>
      </c>
      <c r="D14" s="13" t="n">
        <v>1</v>
      </c>
      <c r="E14" s="13" t="inlineStr">
        <is>
          <t>no</t>
        </is>
      </c>
      <c r="F14" s="4" t="n">
        <v>25</v>
      </c>
      <c r="G14" s="14">
        <f>D14*F14</f>
        <v/>
      </c>
    </row>
    <row r="15">
      <c r="A15" s="13" t="inlineStr">
        <is>
          <t>14.05</t>
        </is>
      </c>
      <c r="B15" s="13" t="inlineStr">
        <is>
          <t>Drainage</t>
        </is>
      </c>
      <c r="C15" s="13" t="inlineStr">
        <is>
          <t>32mm bottle trap</t>
        </is>
      </c>
      <c r="D15" s="13" t="n">
        <v>1</v>
      </c>
      <c r="E15" s="13" t="inlineStr">
        <is>
          <t>no</t>
        </is>
      </c>
      <c r="F15" s="4" t="n">
        <v>8</v>
      </c>
      <c r="G15" s="14">
        <f>D15*F15</f>
        <v/>
      </c>
    </row>
    <row r="16">
      <c r="A16" s="13" t="inlineStr">
        <is>
          <t>14.05</t>
        </is>
      </c>
      <c r="B16" s="13" t="inlineStr">
        <is>
          <t>Sanitaryware</t>
        </is>
      </c>
      <c r="C16" s="13" t="inlineStr">
        <is>
          <t>Close-coupled WC pan, cistern &amp; soft-close seat (commercial)</t>
        </is>
      </c>
      <c r="D16" s="13" t="n">
        <v>1</v>
      </c>
      <c r="E16" s="13" t="inlineStr">
        <is>
          <t>no</t>
        </is>
      </c>
      <c r="F16" s="4" t="n">
        <v>180</v>
      </c>
      <c r="G16" s="14">
        <f>D16*F16</f>
        <v/>
      </c>
    </row>
    <row r="17">
      <c r="A17" s="13" t="inlineStr">
        <is>
          <t>14.05</t>
        </is>
      </c>
      <c r="B17" s="13" t="inlineStr">
        <is>
          <t>Sanitaryware</t>
        </is>
      </c>
      <c r="C17" s="13" t="inlineStr">
        <is>
          <t>Silicone, pan &amp; basin fixings</t>
        </is>
      </c>
      <c r="D17" s="13" t="n">
        <v>1</v>
      </c>
      <c r="E17" s="13" t="inlineStr">
        <is>
          <t>lot</t>
        </is>
      </c>
      <c r="F17" s="4" t="n">
        <v>15</v>
      </c>
      <c r="G17" s="14">
        <f>D17*F17</f>
        <v/>
      </c>
    </row>
    <row r="18">
      <c r="A18" s="13" t="inlineStr">
        <is>
          <t>14.05</t>
        </is>
      </c>
      <c r="B18" s="13" t="inlineStr">
        <is>
          <t>Drainage</t>
        </is>
      </c>
      <c r="C18" s="13" t="inlineStr">
        <is>
          <t>WC pan connector 110mm</t>
        </is>
      </c>
      <c r="D18" s="13" t="n">
        <v>1</v>
      </c>
      <c r="E18" s="13" t="inlineStr">
        <is>
          <t>no</t>
        </is>
      </c>
      <c r="F18" s="4" t="n">
        <v>10</v>
      </c>
      <c r="G18" s="14">
        <f>D18*F18</f>
        <v/>
      </c>
    </row>
    <row r="19">
      <c r="A19" s="13" t="inlineStr">
        <is>
          <t>14.05</t>
        </is>
      </c>
      <c r="B19" s="13" t="inlineStr">
        <is>
          <t>Sanitaryware</t>
        </is>
      </c>
      <c r="C19" s="13" t="inlineStr">
        <is>
          <t>Wash hand basin, tap &amp; fixings</t>
        </is>
      </c>
      <c r="D19" s="13" t="n">
        <v>1</v>
      </c>
      <c r="E19" s="13" t="inlineStr">
        <is>
          <t>no</t>
        </is>
      </c>
      <c r="F19" s="4" t="n">
        <v>150</v>
      </c>
      <c r="G19" s="14">
        <f>D19*F19</f>
        <v/>
      </c>
    </row>
    <row r="20">
      <c r="A20" s="13" t="inlineStr">
        <is>
          <t>14.07</t>
        </is>
      </c>
      <c r="B20" s="13" t="inlineStr">
        <is>
          <t>Sanitaryware</t>
        </is>
      </c>
      <c r="C20" s="13" t="inlineStr">
        <is>
          <t>Wall-mounted soap dispenser</t>
        </is>
      </c>
      <c r="D20" s="13" t="n">
        <v>1</v>
      </c>
      <c r="E20" s="13" t="inlineStr">
        <is>
          <t>no</t>
        </is>
      </c>
      <c r="F20" s="4" t="n">
        <v>25</v>
      </c>
      <c r="G20" s="14">
        <f>D20*F20</f>
        <v/>
      </c>
    </row>
    <row r="21">
      <c r="A21" s="13" t="inlineStr">
        <is>
          <t>14.10</t>
        </is>
      </c>
      <c r="B21" s="13" t="inlineStr">
        <is>
          <t>Drainage</t>
        </is>
      </c>
      <c r="C21" s="13" t="inlineStr">
        <is>
          <t>32mm bottle trap</t>
        </is>
      </c>
      <c r="D21" s="13" t="n">
        <v>1</v>
      </c>
      <c r="E21" s="13" t="inlineStr">
        <is>
          <t>no</t>
        </is>
      </c>
      <c r="F21" s="4" t="n">
        <v>8</v>
      </c>
      <c r="G21" s="14">
        <f>D21*F21</f>
        <v/>
      </c>
    </row>
    <row r="22">
      <c r="A22" s="13" t="inlineStr">
        <is>
          <t>14.10</t>
        </is>
      </c>
      <c r="B22" s="13" t="inlineStr">
        <is>
          <t>Sanitaryware</t>
        </is>
      </c>
      <c r="C22" s="13" t="inlineStr">
        <is>
          <t>Doc M pack (pan, basin, rails, lever tap)</t>
        </is>
      </c>
      <c r="D22" s="13" t="n">
        <v>1</v>
      </c>
      <c r="E22" s="13" t="inlineStr">
        <is>
          <t>no</t>
        </is>
      </c>
      <c r="F22" s="4" t="n">
        <v>650</v>
      </c>
      <c r="G22" s="14">
        <f>D22*F22</f>
        <v/>
      </c>
    </row>
    <row r="23">
      <c r="A23" s="13" t="inlineStr">
        <is>
          <t>14.10</t>
        </is>
      </c>
      <c r="B23" s="13" t="inlineStr">
        <is>
          <t>Sanitaryware</t>
        </is>
      </c>
      <c r="C23" s="13" t="inlineStr">
        <is>
          <t>Silicone, pan &amp; basin fixings</t>
        </is>
      </c>
      <c r="D23" s="13" t="n">
        <v>1</v>
      </c>
      <c r="E23" s="13" t="inlineStr">
        <is>
          <t>lot</t>
        </is>
      </c>
      <c r="F23" s="4" t="n">
        <v>15</v>
      </c>
      <c r="G23" s="14">
        <f>D23*F23</f>
        <v/>
      </c>
    </row>
    <row r="24">
      <c r="A24" s="13" t="inlineStr">
        <is>
          <t>14.10</t>
        </is>
      </c>
      <c r="B24" s="13" t="inlineStr">
        <is>
          <t>Drainage</t>
        </is>
      </c>
      <c r="C24" s="13" t="inlineStr">
        <is>
          <t>WC pan connector 110mm</t>
        </is>
      </c>
      <c r="D24" s="13" t="n">
        <v>1</v>
      </c>
      <c r="E24" s="13" t="inlineStr">
        <is>
          <t>no</t>
        </is>
      </c>
      <c r="F24" s="4" t="n">
        <v>10</v>
      </c>
      <c r="G24" s="14">
        <f>D24*F24</f>
        <v/>
      </c>
    </row>
    <row r="25">
      <c r="A25" s="13" t="inlineStr">
        <is>
          <t>14.11</t>
        </is>
      </c>
      <c r="B25" s="13" t="inlineStr">
        <is>
          <t>Sanitaryware</t>
        </is>
      </c>
      <c r="C25" s="13" t="inlineStr">
        <is>
          <t>Concealed WC frame &amp; cistern (wall-hung)</t>
        </is>
      </c>
      <c r="D25" s="13" t="n">
        <v>1</v>
      </c>
      <c r="E25" s="13" t="inlineStr">
        <is>
          <t>no</t>
        </is>
      </c>
      <c r="F25" s="4" t="n">
        <v>250</v>
      </c>
      <c r="G25" s="14">
        <f>D25*F25</f>
        <v/>
      </c>
    </row>
    <row r="26">
      <c r="A26" s="13" t="inlineStr">
        <is>
          <t>14.14</t>
        </is>
      </c>
      <c r="B26" s="13" t="inlineStr">
        <is>
          <t>Sanitaryware</t>
        </is>
      </c>
      <c r="C26" s="13" t="inlineStr">
        <is>
          <t>Wall-mounted soap dispenser</t>
        </is>
      </c>
      <c r="D26" s="13" t="n">
        <v>1</v>
      </c>
      <c r="E26" s="13" t="inlineStr">
        <is>
          <t>no</t>
        </is>
      </c>
      <c r="F26" s="4" t="n">
        <v>25</v>
      </c>
      <c r="G26" s="14">
        <f>D26*F26</f>
        <v/>
      </c>
    </row>
    <row r="27">
      <c r="A27" s="13" t="inlineStr">
        <is>
          <t>15.01</t>
        </is>
      </c>
      <c r="B27" s="13" t="inlineStr">
        <is>
          <t>Drainage</t>
        </is>
      </c>
      <c r="C27" s="13" t="inlineStr">
        <is>
          <t>110mm 135 deg bend</t>
        </is>
      </c>
      <c r="D27" s="13" t="n">
        <v>3</v>
      </c>
      <c r="E27" s="13" t="inlineStr">
        <is>
          <t>no</t>
        </is>
      </c>
      <c r="F27" s="4" t="n">
        <v>9</v>
      </c>
      <c r="G27" s="14">
        <f>D27*F27</f>
        <v/>
      </c>
    </row>
    <row r="28">
      <c r="A28" s="13" t="inlineStr">
        <is>
          <t>15.01</t>
        </is>
      </c>
      <c r="B28" s="13" t="inlineStr">
        <is>
          <t>Drainage</t>
        </is>
      </c>
      <c r="C28" s="13" t="inlineStr">
        <is>
          <t>110mm 92.5 deg bend</t>
        </is>
      </c>
      <c r="D28" s="13" t="n">
        <v>3</v>
      </c>
      <c r="E28" s="13" t="inlineStr">
        <is>
          <t>no</t>
        </is>
      </c>
      <c r="F28" s="4" t="n">
        <v>9</v>
      </c>
      <c r="G28" s="14">
        <f>D28*F28</f>
        <v/>
      </c>
    </row>
    <row r="29">
      <c r="A29" s="13" t="inlineStr">
        <is>
          <t>15.01</t>
        </is>
      </c>
      <c r="B29" s="13" t="inlineStr">
        <is>
          <t>Drainage</t>
        </is>
      </c>
      <c r="C29" s="13" t="inlineStr">
        <is>
          <t>110mm Air Admittance Valve (Durgo)</t>
        </is>
      </c>
      <c r="D29" s="13" t="n">
        <v>1</v>
      </c>
      <c r="E29" s="13" t="inlineStr">
        <is>
          <t>no</t>
        </is>
      </c>
      <c r="F29" s="4" t="n">
        <v>35</v>
      </c>
      <c r="G29" s="14">
        <f>D29*F29</f>
        <v/>
      </c>
    </row>
    <row r="30">
      <c r="A30" s="13" t="inlineStr">
        <is>
          <t>15.01</t>
        </is>
      </c>
      <c r="B30" s="13" t="inlineStr">
        <is>
          <t>Drainage</t>
        </is>
      </c>
      <c r="C30" s="13" t="inlineStr">
        <is>
          <t>110mm PVC-u soil pipe 3m</t>
        </is>
      </c>
      <c r="D30" s="13" t="n">
        <v>4</v>
      </c>
      <c r="E30" s="13" t="inlineStr">
        <is>
          <t>len</t>
        </is>
      </c>
      <c r="F30" s="4" t="n">
        <v>28</v>
      </c>
      <c r="G30" s="14">
        <f>D30*F30</f>
        <v/>
      </c>
    </row>
    <row r="31">
      <c r="A31" s="13" t="inlineStr">
        <is>
          <t>15.01</t>
        </is>
      </c>
      <c r="B31" s="13" t="inlineStr">
        <is>
          <t>Drainage</t>
        </is>
      </c>
      <c r="C31" s="13" t="inlineStr">
        <is>
          <t>110mm access pipe</t>
        </is>
      </c>
      <c r="D31" s="13" t="n">
        <v>1</v>
      </c>
      <c r="E31" s="13" t="inlineStr">
        <is>
          <t>no</t>
        </is>
      </c>
      <c r="F31" s="4" t="n">
        <v>20</v>
      </c>
      <c r="G31" s="14">
        <f>D31*F31</f>
        <v/>
      </c>
    </row>
    <row r="32">
      <c r="A32" s="13" t="inlineStr">
        <is>
          <t>15.01</t>
        </is>
      </c>
      <c r="B32" s="13" t="inlineStr">
        <is>
          <t>Drainage</t>
        </is>
      </c>
      <c r="C32" s="13" t="inlineStr">
        <is>
          <t>110mm fire collar 60 min</t>
        </is>
      </c>
      <c r="D32" s="13" t="n">
        <v>1</v>
      </c>
      <c r="E32" s="13" t="inlineStr">
        <is>
          <t>no</t>
        </is>
      </c>
      <c r="F32" s="4" t="n">
        <v>25</v>
      </c>
      <c r="G32" s="14">
        <f>D32*F32</f>
        <v/>
      </c>
    </row>
    <row r="33">
      <c r="A33" s="13" t="inlineStr">
        <is>
          <t>15.01</t>
        </is>
      </c>
      <c r="B33" s="13" t="inlineStr">
        <is>
          <t>Drainage</t>
        </is>
      </c>
      <c r="C33" s="13" t="inlineStr">
        <is>
          <t>110mm floor pop-up connection</t>
        </is>
      </c>
      <c r="D33" s="13" t="n">
        <v>1</v>
      </c>
      <c r="E33" s="13" t="inlineStr">
        <is>
          <t>no</t>
        </is>
      </c>
      <c r="F33" s="4" t="n">
        <v>15</v>
      </c>
      <c r="G33" s="14">
        <f>D33*F33</f>
        <v/>
      </c>
    </row>
    <row r="34">
      <c r="A34" s="13" t="inlineStr">
        <is>
          <t>15.01</t>
        </is>
      </c>
      <c r="B34" s="13" t="inlineStr">
        <is>
          <t>Drainage</t>
        </is>
      </c>
      <c r="C34" s="13" t="inlineStr">
        <is>
          <t>110mm pipe clips</t>
        </is>
      </c>
      <c r="D34" s="13" t="n">
        <v>8</v>
      </c>
      <c r="E34" s="13" t="inlineStr">
        <is>
          <t>no</t>
        </is>
      </c>
      <c r="F34" s="4" t="n">
        <v>3</v>
      </c>
      <c r="G34" s="14">
        <f>D34*F34</f>
        <v/>
      </c>
    </row>
    <row r="35">
      <c r="A35" s="13" t="inlineStr">
        <is>
          <t>15.01</t>
        </is>
      </c>
      <c r="B35" s="13" t="inlineStr">
        <is>
          <t>Drainage</t>
        </is>
      </c>
      <c r="C35" s="13" t="inlineStr">
        <is>
          <t>110mm single branch</t>
        </is>
      </c>
      <c r="D35" s="13" t="n">
        <v>1</v>
      </c>
      <c r="E35" s="13" t="inlineStr">
        <is>
          <t>no</t>
        </is>
      </c>
      <c r="F35" s="4" t="n">
        <v>18</v>
      </c>
      <c r="G35" s="14">
        <f>D35*F35</f>
        <v/>
      </c>
    </row>
    <row r="36">
      <c r="A36" s="13" t="inlineStr">
        <is>
          <t>15.01</t>
        </is>
      </c>
      <c r="B36" s="13" t="inlineStr">
        <is>
          <t>Drainage</t>
        </is>
      </c>
      <c r="C36" s="13" t="inlineStr">
        <is>
          <t>32mm bends (mixed)</t>
        </is>
      </c>
      <c r="D36" s="13" t="n">
        <v>4</v>
      </c>
      <c r="E36" s="13" t="inlineStr">
        <is>
          <t>no</t>
        </is>
      </c>
      <c r="F36" s="4" t="n">
        <v>2.2</v>
      </c>
      <c r="G36" s="14">
        <f>D36*F36</f>
        <v/>
      </c>
    </row>
    <row r="37">
      <c r="A37" s="13" t="inlineStr">
        <is>
          <t>15.01</t>
        </is>
      </c>
      <c r="B37" s="13" t="inlineStr">
        <is>
          <t>Drainage</t>
        </is>
      </c>
      <c r="C37" s="13" t="inlineStr">
        <is>
          <t>32mm solvent waste pipe 3m</t>
        </is>
      </c>
      <c r="D37" s="13" t="n">
        <v>1</v>
      </c>
      <c r="E37" s="13" t="inlineStr">
        <is>
          <t>len</t>
        </is>
      </c>
      <c r="F37" s="4" t="n">
        <v>8</v>
      </c>
      <c r="G37" s="14">
        <f>D37*F37</f>
        <v/>
      </c>
    </row>
    <row r="38">
      <c r="A38" s="13" t="inlineStr">
        <is>
          <t>15.01</t>
        </is>
      </c>
      <c r="B38" s="13" t="inlineStr">
        <is>
          <t>Drainage</t>
        </is>
      </c>
      <c r="C38" s="13" t="inlineStr">
        <is>
          <t>40mm bends (mixed)</t>
        </is>
      </c>
      <c r="D38" s="13" t="n">
        <v>4</v>
      </c>
      <c r="E38" s="13" t="inlineStr">
        <is>
          <t>no</t>
        </is>
      </c>
      <c r="F38" s="4" t="n">
        <v>2.5</v>
      </c>
      <c r="G38" s="14">
        <f>D38*F38</f>
        <v/>
      </c>
    </row>
    <row r="39">
      <c r="A39" s="13" t="inlineStr">
        <is>
          <t>15.01</t>
        </is>
      </c>
      <c r="B39" s="13" t="inlineStr">
        <is>
          <t>Drainage</t>
        </is>
      </c>
      <c r="C39" s="13" t="inlineStr">
        <is>
          <t>40mm floor pop-up connection</t>
        </is>
      </c>
      <c r="D39" s="13" t="n">
        <v>1</v>
      </c>
      <c r="E39" s="13" t="inlineStr">
        <is>
          <t>no</t>
        </is>
      </c>
      <c r="F39" s="4" t="n">
        <v>8</v>
      </c>
      <c r="G39" s="14">
        <f>D39*F39</f>
        <v/>
      </c>
    </row>
    <row r="40">
      <c r="A40" s="13" t="inlineStr">
        <is>
          <t>15.01</t>
        </is>
      </c>
      <c r="B40" s="13" t="inlineStr">
        <is>
          <t>Drainage</t>
        </is>
      </c>
      <c r="C40" s="13" t="inlineStr">
        <is>
          <t>40mm rodding eye / access plug</t>
        </is>
      </c>
      <c r="D40" s="13" t="n">
        <v>2</v>
      </c>
      <c r="E40" s="13" t="inlineStr">
        <is>
          <t>no</t>
        </is>
      </c>
      <c r="F40" s="4" t="n">
        <v>5</v>
      </c>
      <c r="G40" s="14">
        <f>D40*F40</f>
        <v/>
      </c>
    </row>
    <row r="41">
      <c r="A41" s="13" t="inlineStr">
        <is>
          <t>15.01</t>
        </is>
      </c>
      <c r="B41" s="13" t="inlineStr">
        <is>
          <t>Drainage</t>
        </is>
      </c>
      <c r="C41" s="13" t="inlineStr">
        <is>
          <t>40mm solvent waste pipe 3m</t>
        </is>
      </c>
      <c r="D41" s="13" t="n">
        <v>1</v>
      </c>
      <c r="E41" s="13" t="inlineStr">
        <is>
          <t>len</t>
        </is>
      </c>
      <c r="F41" s="4" t="n">
        <v>9</v>
      </c>
      <c r="G41" s="14">
        <f>D41*F41</f>
        <v/>
      </c>
    </row>
    <row r="42">
      <c r="A42" s="13" t="inlineStr">
        <is>
          <t>15.01</t>
        </is>
      </c>
      <c r="B42" s="13" t="inlineStr">
        <is>
          <t>Drainage</t>
        </is>
      </c>
      <c r="C42" s="13" t="inlineStr">
        <is>
          <t>Boss adaptor 32/40mm</t>
        </is>
      </c>
      <c r="D42" s="13" t="n">
        <v>1</v>
      </c>
      <c r="E42" s="13" t="inlineStr">
        <is>
          <t>no</t>
        </is>
      </c>
      <c r="F42" s="4" t="n">
        <v>5</v>
      </c>
      <c r="G42" s="14">
        <f>D42*F42</f>
        <v/>
      </c>
    </row>
    <row r="43">
      <c r="A43" s="13" t="inlineStr">
        <is>
          <t>15.01</t>
        </is>
      </c>
      <c r="B43" s="13" t="inlineStr">
        <is>
          <t>Drainage</t>
        </is>
      </c>
      <c r="C43" s="13" t="inlineStr">
        <is>
          <t>Waste pipe clips 32/40mm</t>
        </is>
      </c>
      <c r="D43" s="13" t="n">
        <v>10</v>
      </c>
      <c r="E43" s="13" t="inlineStr">
        <is>
          <t>no</t>
        </is>
      </c>
      <c r="F43" s="4" t="n">
        <v>0.6</v>
      </c>
      <c r="G43" s="14">
        <f>D43*F43</f>
        <v/>
      </c>
    </row>
    <row r="44">
      <c r="A44" s="13" t="inlineStr">
        <is>
          <t>15.02</t>
        </is>
      </c>
      <c r="B44" s="13" t="inlineStr">
        <is>
          <t>Drainage</t>
        </is>
      </c>
      <c r="C44" s="13" t="inlineStr">
        <is>
          <t>110mm 135 deg bend</t>
        </is>
      </c>
      <c r="D44" s="13" t="n">
        <v>2</v>
      </c>
      <c r="E44" s="13" t="inlineStr">
        <is>
          <t>no</t>
        </is>
      </c>
      <c r="F44" s="4" t="n">
        <v>9</v>
      </c>
      <c r="G44" s="14">
        <f>D44*F44</f>
        <v/>
      </c>
    </row>
    <row r="45">
      <c r="A45" s="13" t="inlineStr">
        <is>
          <t>15.02</t>
        </is>
      </c>
      <c r="B45" s="13" t="inlineStr">
        <is>
          <t>Drainage</t>
        </is>
      </c>
      <c r="C45" s="13" t="inlineStr">
        <is>
          <t>110mm 92.5 deg bend</t>
        </is>
      </c>
      <c r="D45" s="13" t="n">
        <v>2</v>
      </c>
      <c r="E45" s="13" t="inlineStr">
        <is>
          <t>no</t>
        </is>
      </c>
      <c r="F45" s="4" t="n">
        <v>9</v>
      </c>
      <c r="G45" s="14">
        <f>D45*F45</f>
        <v/>
      </c>
    </row>
    <row r="46">
      <c r="A46" s="13" t="inlineStr">
        <is>
          <t>15.02</t>
        </is>
      </c>
      <c r="B46" s="13" t="inlineStr">
        <is>
          <t>Drainage</t>
        </is>
      </c>
      <c r="C46" s="13" t="inlineStr">
        <is>
          <t>110mm PVC-u soil pipe 3m</t>
        </is>
      </c>
      <c r="D46" s="13" t="n">
        <v>1</v>
      </c>
      <c r="E46" s="13" t="inlineStr">
        <is>
          <t>len</t>
        </is>
      </c>
      <c r="F46" s="4" t="n">
        <v>28</v>
      </c>
      <c r="G46" s="14">
        <f>D46*F46</f>
        <v/>
      </c>
    </row>
    <row r="47">
      <c r="A47" s="13" t="inlineStr">
        <is>
          <t>15.02</t>
        </is>
      </c>
      <c r="B47" s="13" t="inlineStr">
        <is>
          <t>Drainage</t>
        </is>
      </c>
      <c r="C47" s="13" t="inlineStr">
        <is>
          <t>110mm access pipe</t>
        </is>
      </c>
      <c r="D47" s="13" t="n">
        <v>1</v>
      </c>
      <c r="E47" s="13" t="inlineStr">
        <is>
          <t>no</t>
        </is>
      </c>
      <c r="F47" s="4" t="n">
        <v>20</v>
      </c>
      <c r="G47" s="14">
        <f>D47*F47</f>
        <v/>
      </c>
    </row>
    <row r="48">
      <c r="A48" s="13" t="inlineStr">
        <is>
          <t>15.02</t>
        </is>
      </c>
      <c r="B48" s="13" t="inlineStr">
        <is>
          <t>Drainage</t>
        </is>
      </c>
      <c r="C48" s="13" t="inlineStr">
        <is>
          <t>110mm pipe clips</t>
        </is>
      </c>
      <c r="D48" s="13" t="n">
        <v>5</v>
      </c>
      <c r="E48" s="13" t="inlineStr">
        <is>
          <t>no</t>
        </is>
      </c>
      <c r="F48" s="4" t="n">
        <v>3</v>
      </c>
      <c r="G48" s="14">
        <f>D48*F48</f>
        <v/>
      </c>
    </row>
    <row r="49">
      <c r="A49" s="13" t="inlineStr">
        <is>
          <t>15.02</t>
        </is>
      </c>
      <c r="B49" s="13" t="inlineStr">
        <is>
          <t>Drainage</t>
        </is>
      </c>
      <c r="C49" s="13" t="inlineStr">
        <is>
          <t>110mm single branch</t>
        </is>
      </c>
      <c r="D49" s="13" t="n">
        <v>1</v>
      </c>
      <c r="E49" s="13" t="inlineStr">
        <is>
          <t>no</t>
        </is>
      </c>
      <c r="F49" s="4" t="n">
        <v>18</v>
      </c>
      <c r="G49" s="14">
        <f>D49*F49</f>
        <v/>
      </c>
    </row>
    <row r="50">
      <c r="A50" s="13" t="inlineStr">
        <is>
          <t>15.02</t>
        </is>
      </c>
      <c r="B50" s="13" t="inlineStr">
        <is>
          <t>Drainage</t>
        </is>
      </c>
      <c r="C50" s="13" t="inlineStr">
        <is>
          <t>110mm strap-on boss / stack connection</t>
        </is>
      </c>
      <c r="D50" s="13" t="n">
        <v>1</v>
      </c>
      <c r="E50" s="13" t="inlineStr">
        <is>
          <t>no</t>
        </is>
      </c>
      <c r="F50" s="4" t="n">
        <v>12</v>
      </c>
      <c r="G50" s="14">
        <f>D50*F50</f>
        <v/>
      </c>
    </row>
    <row r="51">
      <c r="A51" s="13" t="inlineStr">
        <is>
          <t>15.02</t>
        </is>
      </c>
      <c r="B51" s="13" t="inlineStr">
        <is>
          <t>Drainage</t>
        </is>
      </c>
      <c r="C51" s="13" t="inlineStr">
        <is>
          <t>32mm bends (mixed)</t>
        </is>
      </c>
      <c r="D51" s="13" t="n">
        <v>4</v>
      </c>
      <c r="E51" s="13" t="inlineStr">
        <is>
          <t>no</t>
        </is>
      </c>
      <c r="F51" s="4" t="n">
        <v>2.2</v>
      </c>
      <c r="G51" s="14">
        <f>D51*F51</f>
        <v/>
      </c>
    </row>
    <row r="52">
      <c r="A52" s="13" t="inlineStr">
        <is>
          <t>15.02</t>
        </is>
      </c>
      <c r="B52" s="13" t="inlineStr">
        <is>
          <t>Drainage</t>
        </is>
      </c>
      <c r="C52" s="13" t="inlineStr">
        <is>
          <t>32mm solvent waste pipe 3m</t>
        </is>
      </c>
      <c r="D52" s="13" t="n">
        <v>1</v>
      </c>
      <c r="E52" s="13" t="inlineStr">
        <is>
          <t>len</t>
        </is>
      </c>
      <c r="F52" s="4" t="n">
        <v>8</v>
      </c>
      <c r="G52" s="14">
        <f>D52*F52</f>
        <v/>
      </c>
    </row>
    <row r="53">
      <c r="A53" s="13" t="inlineStr">
        <is>
          <t>15.02</t>
        </is>
      </c>
      <c r="B53" s="13" t="inlineStr">
        <is>
          <t>Drainage</t>
        </is>
      </c>
      <c r="C53" s="13" t="inlineStr">
        <is>
          <t>40mm rodding eye / access plug</t>
        </is>
      </c>
      <c r="D53" s="13" t="n">
        <v>1</v>
      </c>
      <c r="E53" s="13" t="inlineStr">
        <is>
          <t>no</t>
        </is>
      </c>
      <c r="F53" s="4" t="n">
        <v>5</v>
      </c>
      <c r="G53" s="14">
        <f>D53*F53</f>
        <v/>
      </c>
    </row>
    <row r="54">
      <c r="A54" s="13" t="inlineStr">
        <is>
          <t>15.02</t>
        </is>
      </c>
      <c r="B54" s="13" t="inlineStr">
        <is>
          <t>Drainage</t>
        </is>
      </c>
      <c r="C54" s="13" t="inlineStr">
        <is>
          <t>Boss adaptor 32/40mm</t>
        </is>
      </c>
      <c r="D54" s="13" t="n">
        <v>1</v>
      </c>
      <c r="E54" s="13" t="inlineStr">
        <is>
          <t>no</t>
        </is>
      </c>
      <c r="F54" s="4" t="n">
        <v>5</v>
      </c>
      <c r="G54" s="14">
        <f>D54*F54</f>
        <v/>
      </c>
    </row>
    <row r="55">
      <c r="A55" s="13" t="inlineStr">
        <is>
          <t>15.02</t>
        </is>
      </c>
      <c r="B55" s="13" t="inlineStr">
        <is>
          <t>Drainage</t>
        </is>
      </c>
      <c r="C55" s="13" t="inlineStr">
        <is>
          <t>Transition coupling to cast iron 110mm (Fernco)</t>
        </is>
      </c>
      <c r="D55" s="13" t="n">
        <v>1</v>
      </c>
      <c r="E55" s="13" t="inlineStr">
        <is>
          <t>no</t>
        </is>
      </c>
      <c r="F55" s="4" t="n">
        <v>25</v>
      </c>
      <c r="G55" s="14">
        <f>D55*F55</f>
        <v/>
      </c>
    </row>
    <row r="56">
      <c r="A56" s="13" t="inlineStr">
        <is>
          <t>15.02</t>
        </is>
      </c>
      <c r="B56" s="13" t="inlineStr">
        <is>
          <t>Drainage</t>
        </is>
      </c>
      <c r="C56" s="13" t="inlineStr">
        <is>
          <t>Waste pipe clips 32/40mm</t>
        </is>
      </c>
      <c r="D56" s="13" t="n">
        <v>8</v>
      </c>
      <c r="E56" s="13" t="inlineStr">
        <is>
          <t>no</t>
        </is>
      </c>
      <c r="F56" s="4" t="n">
        <v>0.6</v>
      </c>
      <c r="G56" s="14">
        <f>D56*F56</f>
        <v/>
      </c>
    </row>
    <row r="57">
      <c r="A57" s="13" t="inlineStr">
        <is>
          <t>15.03</t>
        </is>
      </c>
      <c r="B57" s="13" t="inlineStr">
        <is>
          <t>Drainage</t>
        </is>
      </c>
      <c r="C57" s="13" t="inlineStr">
        <is>
          <t>110mm 135 deg bend</t>
        </is>
      </c>
      <c r="D57" s="13" t="n">
        <v>1</v>
      </c>
      <c r="E57" s="13" t="inlineStr">
        <is>
          <t>no</t>
        </is>
      </c>
      <c r="F57" s="4" t="n">
        <v>9</v>
      </c>
      <c r="G57" s="14">
        <f>D57*F57</f>
        <v/>
      </c>
    </row>
    <row r="58">
      <c r="A58" s="13" t="inlineStr">
        <is>
          <t>15.03</t>
        </is>
      </c>
      <c r="B58" s="13" t="inlineStr">
        <is>
          <t>Drainage</t>
        </is>
      </c>
      <c r="C58" s="13" t="inlineStr">
        <is>
          <t>110mm 92.5 deg bend</t>
        </is>
      </c>
      <c r="D58" s="13" t="n">
        <v>1</v>
      </c>
      <c r="E58" s="13" t="inlineStr">
        <is>
          <t>no</t>
        </is>
      </c>
      <c r="F58" s="4" t="n">
        <v>9</v>
      </c>
      <c r="G58" s="14">
        <f>D58*F58</f>
        <v/>
      </c>
    </row>
    <row r="59">
      <c r="A59" s="13" t="inlineStr">
        <is>
          <t>15.03</t>
        </is>
      </c>
      <c r="B59" s="13" t="inlineStr">
        <is>
          <t>Drainage</t>
        </is>
      </c>
      <c r="C59" s="13" t="inlineStr">
        <is>
          <t>110mm PVC-u soil pipe 3m</t>
        </is>
      </c>
      <c r="D59" s="13" t="n">
        <v>2</v>
      </c>
      <c r="E59" s="13" t="inlineStr">
        <is>
          <t>len</t>
        </is>
      </c>
      <c r="F59" s="4" t="n">
        <v>28</v>
      </c>
      <c r="G59" s="14">
        <f>D59*F59</f>
        <v/>
      </c>
    </row>
    <row r="60">
      <c r="A60" s="13" t="inlineStr">
        <is>
          <t>15.03</t>
        </is>
      </c>
      <c r="B60" s="13" t="inlineStr">
        <is>
          <t>Drainage</t>
        </is>
      </c>
      <c r="C60" s="13" t="inlineStr">
        <is>
          <t>110mm fire collar 60 min</t>
        </is>
      </c>
      <c r="D60" s="13" t="n">
        <v>1</v>
      </c>
      <c r="E60" s="13" t="inlineStr">
        <is>
          <t>no</t>
        </is>
      </c>
      <c r="F60" s="4" t="n">
        <v>25</v>
      </c>
      <c r="G60" s="14">
        <f>D60*F60</f>
        <v/>
      </c>
    </row>
    <row r="61">
      <c r="A61" s="13" t="inlineStr">
        <is>
          <t>15.03</t>
        </is>
      </c>
      <c r="B61" s="13" t="inlineStr">
        <is>
          <t>Drainage</t>
        </is>
      </c>
      <c r="C61" s="13" t="inlineStr">
        <is>
          <t>110mm floor pop-up connection</t>
        </is>
      </c>
      <c r="D61" s="13" t="n">
        <v>1</v>
      </c>
      <c r="E61" s="13" t="inlineStr">
        <is>
          <t>no</t>
        </is>
      </c>
      <c r="F61" s="4" t="n">
        <v>15</v>
      </c>
      <c r="G61" s="14">
        <f>D61*F61</f>
        <v/>
      </c>
    </row>
    <row r="62">
      <c r="A62" s="13" t="inlineStr">
        <is>
          <t>15.03</t>
        </is>
      </c>
      <c r="B62" s="13" t="inlineStr">
        <is>
          <t>Drainage</t>
        </is>
      </c>
      <c r="C62" s="13" t="inlineStr">
        <is>
          <t>110mm pipe clips</t>
        </is>
      </c>
      <c r="D62" s="13" t="n">
        <v>3</v>
      </c>
      <c r="E62" s="13" t="inlineStr">
        <is>
          <t>no</t>
        </is>
      </c>
      <c r="F62" s="4" t="n">
        <v>3</v>
      </c>
      <c r="G62" s="14">
        <f>D62*F62</f>
        <v/>
      </c>
    </row>
    <row r="63">
      <c r="A63" s="13" t="inlineStr">
        <is>
          <t>15.03</t>
        </is>
      </c>
      <c r="B63" s="13" t="inlineStr">
        <is>
          <t>Drainage</t>
        </is>
      </c>
      <c r="C63" s="13" t="inlineStr">
        <is>
          <t>110mm single branch</t>
        </is>
      </c>
      <c r="D63" s="13" t="n">
        <v>1</v>
      </c>
      <c r="E63" s="13" t="inlineStr">
        <is>
          <t>no</t>
        </is>
      </c>
      <c r="F63" s="4" t="n">
        <v>18</v>
      </c>
      <c r="G63" s="14">
        <f>D63*F63</f>
        <v/>
      </c>
    </row>
    <row r="64">
      <c r="A64" s="13" t="inlineStr">
        <is>
          <t>15.03</t>
        </is>
      </c>
      <c r="B64" s="13" t="inlineStr">
        <is>
          <t>Drainage</t>
        </is>
      </c>
      <c r="C64" s="13" t="inlineStr">
        <is>
          <t>110mm strap-on boss / stack connection</t>
        </is>
      </c>
      <c r="D64" s="13" t="n">
        <v>1</v>
      </c>
      <c r="E64" s="13" t="inlineStr">
        <is>
          <t>no</t>
        </is>
      </c>
      <c r="F64" s="4" t="n">
        <v>12</v>
      </c>
      <c r="G64" s="14">
        <f>D64*F64</f>
        <v/>
      </c>
    </row>
    <row r="65">
      <c r="A65" s="13" t="inlineStr">
        <is>
          <t>15.03</t>
        </is>
      </c>
      <c r="B65" s="13" t="inlineStr">
        <is>
          <t>Drainage</t>
        </is>
      </c>
      <c r="C65" s="13" t="inlineStr">
        <is>
          <t>32mm bottle trap</t>
        </is>
      </c>
      <c r="D65" s="13" t="n">
        <v>1</v>
      </c>
      <c r="E65" s="13" t="inlineStr">
        <is>
          <t>no</t>
        </is>
      </c>
      <c r="F65" s="4" t="n">
        <v>8</v>
      </c>
      <c r="G65" s="14">
        <f>D65*F65</f>
        <v/>
      </c>
    </row>
    <row r="66">
      <c r="A66" s="13" t="inlineStr">
        <is>
          <t>15.03</t>
        </is>
      </c>
      <c r="B66" s="13" t="inlineStr">
        <is>
          <t>Drainage</t>
        </is>
      </c>
      <c r="C66" s="13" t="inlineStr">
        <is>
          <t>40mm bends (mixed)</t>
        </is>
      </c>
      <c r="D66" s="13" t="n">
        <v>8</v>
      </c>
      <c r="E66" s="13" t="inlineStr">
        <is>
          <t>no</t>
        </is>
      </c>
      <c r="F66" s="4" t="n">
        <v>2.5</v>
      </c>
      <c r="G66" s="14">
        <f>D66*F66</f>
        <v/>
      </c>
    </row>
    <row r="67">
      <c r="A67" s="13" t="inlineStr">
        <is>
          <t>15.03</t>
        </is>
      </c>
      <c r="B67" s="13" t="inlineStr">
        <is>
          <t>Drainage</t>
        </is>
      </c>
      <c r="C67" s="13" t="inlineStr">
        <is>
          <t>40mm fire collar 60 min</t>
        </is>
      </c>
      <c r="D67" s="13" t="n">
        <v>2</v>
      </c>
      <c r="E67" s="13" t="inlineStr">
        <is>
          <t>no</t>
        </is>
      </c>
      <c r="F67" s="4" t="n">
        <v>15</v>
      </c>
      <c r="G67" s="14">
        <f>D67*F67</f>
        <v/>
      </c>
    </row>
    <row r="68">
      <c r="A68" s="13" t="inlineStr">
        <is>
          <t>15.03</t>
        </is>
      </c>
      <c r="B68" s="13" t="inlineStr">
        <is>
          <t>Drainage</t>
        </is>
      </c>
      <c r="C68" s="13" t="inlineStr">
        <is>
          <t>40mm rodding eye / access plug</t>
        </is>
      </c>
      <c r="D68" s="13" t="n">
        <v>1</v>
      </c>
      <c r="E68" s="13" t="inlineStr">
        <is>
          <t>no</t>
        </is>
      </c>
      <c r="F68" s="4" t="n">
        <v>5</v>
      </c>
      <c r="G68" s="14">
        <f>D68*F68</f>
        <v/>
      </c>
    </row>
    <row r="69">
      <c r="A69" s="13" t="inlineStr">
        <is>
          <t>15.03</t>
        </is>
      </c>
      <c r="B69" s="13" t="inlineStr">
        <is>
          <t>Drainage</t>
        </is>
      </c>
      <c r="C69" s="13" t="inlineStr">
        <is>
          <t>40mm sink trap c/w dishwasher spigot</t>
        </is>
      </c>
      <c r="D69" s="13" t="n">
        <v>1</v>
      </c>
      <c r="E69" s="13" t="inlineStr">
        <is>
          <t>no</t>
        </is>
      </c>
      <c r="F69" s="4" t="n">
        <v>15</v>
      </c>
      <c r="G69" s="14">
        <f>D69*F69</f>
        <v/>
      </c>
    </row>
    <row r="70">
      <c r="A70" s="13" t="inlineStr">
        <is>
          <t>15.03</t>
        </is>
      </c>
      <c r="B70" s="13" t="inlineStr">
        <is>
          <t>Drainage</t>
        </is>
      </c>
      <c r="C70" s="13" t="inlineStr">
        <is>
          <t>40mm solvent waste pipe 3m</t>
        </is>
      </c>
      <c r="D70" s="13" t="n">
        <v>3</v>
      </c>
      <c r="E70" s="13" t="inlineStr">
        <is>
          <t>len</t>
        </is>
      </c>
      <c r="F70" s="4" t="n">
        <v>9</v>
      </c>
      <c r="G70" s="14">
        <f>D70*F70</f>
        <v/>
      </c>
    </row>
    <row r="71">
      <c r="A71" s="13" t="inlineStr">
        <is>
          <t>15.03</t>
        </is>
      </c>
      <c r="B71" s="13" t="inlineStr">
        <is>
          <t>Drainage</t>
        </is>
      </c>
      <c r="C71" s="13" t="inlineStr">
        <is>
          <t>40mm tees</t>
        </is>
      </c>
      <c r="D71" s="13" t="n">
        <v>3</v>
      </c>
      <c r="E71" s="13" t="inlineStr">
        <is>
          <t>no</t>
        </is>
      </c>
      <c r="F71" s="4" t="n">
        <v>3</v>
      </c>
      <c r="G71" s="14">
        <f>D71*F71</f>
        <v/>
      </c>
    </row>
    <row r="72">
      <c r="A72" s="13" t="inlineStr">
        <is>
          <t>15.03</t>
        </is>
      </c>
      <c r="B72" s="13" t="inlineStr">
        <is>
          <t>Drainage</t>
        </is>
      </c>
      <c r="C72" s="13" t="inlineStr">
        <is>
          <t>50 x 40mm reducer / connector</t>
        </is>
      </c>
      <c r="D72" s="13" t="n">
        <v>2</v>
      </c>
      <c r="E72" s="13" t="inlineStr">
        <is>
          <t>no</t>
        </is>
      </c>
      <c r="F72" s="4" t="n">
        <v>4</v>
      </c>
      <c r="G72" s="14">
        <f>D72*F72</f>
        <v/>
      </c>
    </row>
    <row r="73">
      <c r="A73" s="13" t="inlineStr">
        <is>
          <t>15.03</t>
        </is>
      </c>
      <c r="B73" s="13" t="inlineStr">
        <is>
          <t>Drainage</t>
        </is>
      </c>
      <c r="C73" s="13" t="inlineStr">
        <is>
          <t>50mm solvent waste pipe 3m</t>
        </is>
      </c>
      <c r="D73" s="13" t="n">
        <v>1</v>
      </c>
      <c r="E73" s="13" t="inlineStr">
        <is>
          <t>len</t>
        </is>
      </c>
      <c r="F73" s="4" t="n">
        <v>14</v>
      </c>
      <c r="G73" s="14">
        <f>D73*F73</f>
        <v/>
      </c>
    </row>
    <row r="74">
      <c r="A74" s="13" t="inlineStr">
        <is>
          <t>15.03</t>
        </is>
      </c>
      <c r="B74" s="13" t="inlineStr">
        <is>
          <t>Drainage</t>
        </is>
      </c>
      <c r="C74" s="13" t="inlineStr">
        <is>
          <t>Transition coupling to cast iron 110mm (Fernco)</t>
        </is>
      </c>
      <c r="D74" s="13" t="n">
        <v>1</v>
      </c>
      <c r="E74" s="13" t="inlineStr">
        <is>
          <t>no</t>
        </is>
      </c>
      <c r="F74" s="4" t="n">
        <v>25</v>
      </c>
      <c r="G74" s="14">
        <f>D74*F74</f>
        <v/>
      </c>
    </row>
    <row r="75">
      <c r="A75" s="13" t="inlineStr">
        <is>
          <t>15.03</t>
        </is>
      </c>
      <c r="B75" s="13" t="inlineStr">
        <is>
          <t>Drainage</t>
        </is>
      </c>
      <c r="C75" s="13" t="inlineStr">
        <is>
          <t>Waste pipe clips 32/40mm</t>
        </is>
      </c>
      <c r="D75" s="13" t="n">
        <v>12</v>
      </c>
      <c r="E75" s="13" t="inlineStr">
        <is>
          <t>no</t>
        </is>
      </c>
      <c r="F75" s="4" t="n">
        <v>0.6</v>
      </c>
      <c r="G75" s="14">
        <f>D75*F75</f>
        <v/>
      </c>
    </row>
    <row r="76">
      <c r="A76" s="13" t="inlineStr">
        <is>
          <t>15.04</t>
        </is>
      </c>
      <c r="B76" s="13" t="inlineStr">
        <is>
          <t>General</t>
        </is>
      </c>
      <c r="C76" s="13" t="inlineStr">
        <is>
          <t>Chlorination &amp; lab sample certificate (subcontract)</t>
        </is>
      </c>
      <c r="D76" s="13" t="n">
        <v>1</v>
      </c>
      <c r="E76" s="13" t="inlineStr">
        <is>
          <t>item</t>
        </is>
      </c>
      <c r="F76" s="4" t="n">
        <v>350</v>
      </c>
      <c r="G76" s="14">
        <f>D76*F76</f>
        <v/>
      </c>
    </row>
    <row r="77">
      <c r="A77" s="13" t="inlineStr">
        <is>
          <t>16.03</t>
        </is>
      </c>
      <c r="B77" s="13" t="inlineStr">
        <is>
          <t>Hot &amp; cold water</t>
        </is>
      </c>
      <c r="C77" s="13" t="inlineStr">
        <is>
          <t>15mm 1/4-turn isolating valve</t>
        </is>
      </c>
      <c r="D77" s="13" t="n">
        <v>3</v>
      </c>
      <c r="E77" s="13" t="inlineStr">
        <is>
          <t>no</t>
        </is>
      </c>
      <c r="F77" s="4" t="n">
        <v>5</v>
      </c>
      <c r="G77" s="14">
        <f>D77*F77</f>
        <v/>
      </c>
    </row>
    <row r="78">
      <c r="A78" s="13" t="inlineStr">
        <is>
          <t>16.03</t>
        </is>
      </c>
      <c r="B78" s="13" t="inlineStr">
        <is>
          <t>Hot &amp; cold water</t>
        </is>
      </c>
      <c r="C78" s="13" t="inlineStr">
        <is>
          <t>15mm copper tube 3m</t>
        </is>
      </c>
      <c r="D78" s="13" t="n">
        <v>3</v>
      </c>
      <c r="E78" s="13" t="inlineStr">
        <is>
          <t>len</t>
        </is>
      </c>
      <c r="F78" s="4" t="n">
        <v>22</v>
      </c>
      <c r="G78" s="14">
        <f>D78*F78</f>
        <v/>
      </c>
    </row>
    <row r="79">
      <c r="A79" s="13" t="inlineStr">
        <is>
          <t>16.03</t>
        </is>
      </c>
      <c r="B79" s="13" t="inlineStr">
        <is>
          <t>Hot &amp; cold water</t>
        </is>
      </c>
      <c r="C79" s="13" t="inlineStr">
        <is>
          <t>15mm elbows</t>
        </is>
      </c>
      <c r="D79" s="13" t="n">
        <v>12</v>
      </c>
      <c r="E79" s="13" t="inlineStr">
        <is>
          <t>no</t>
        </is>
      </c>
      <c r="F79" s="4" t="n">
        <v>1.5</v>
      </c>
      <c r="G79" s="14">
        <f>D79*F79</f>
        <v/>
      </c>
    </row>
    <row r="80">
      <c r="A80" s="13" t="inlineStr">
        <is>
          <t>16.03</t>
        </is>
      </c>
      <c r="B80" s="13" t="inlineStr">
        <is>
          <t>Hot &amp; cold water</t>
        </is>
      </c>
      <c r="C80" s="13" t="inlineStr">
        <is>
          <t>15mm equal tees</t>
        </is>
      </c>
      <c r="D80" s="13" t="n">
        <v>3</v>
      </c>
      <c r="E80" s="13" t="inlineStr">
        <is>
          <t>no</t>
        </is>
      </c>
      <c r="F80" s="4" t="n">
        <v>2</v>
      </c>
      <c r="G80" s="14">
        <f>D80*F80</f>
        <v/>
      </c>
    </row>
    <row r="81">
      <c r="A81" s="13" t="inlineStr">
        <is>
          <t>16.03</t>
        </is>
      </c>
      <c r="B81" s="13" t="inlineStr">
        <is>
          <t>Hot &amp; cold water</t>
        </is>
      </c>
      <c r="C81" s="13" t="inlineStr">
        <is>
          <t>15mm pipe clips</t>
        </is>
      </c>
      <c r="D81" s="13" t="n">
        <v>18</v>
      </c>
      <c r="E81" s="13" t="inlineStr">
        <is>
          <t>no</t>
        </is>
      </c>
      <c r="F81" s="4" t="n">
        <v>0.4</v>
      </c>
      <c r="G81" s="14">
        <f>D81*F81</f>
        <v/>
      </c>
    </row>
    <row r="82">
      <c r="A82" s="13" t="inlineStr">
        <is>
          <t>16.03</t>
        </is>
      </c>
      <c r="B82" s="13" t="inlineStr">
        <is>
          <t>Hot &amp; cold water</t>
        </is>
      </c>
      <c r="C82" s="13" t="inlineStr">
        <is>
          <t>22mm copper tube 3m</t>
        </is>
      </c>
      <c r="D82" s="13" t="n">
        <v>1</v>
      </c>
      <c r="E82" s="13" t="inlineStr">
        <is>
          <t>len</t>
        </is>
      </c>
      <c r="F82" s="4" t="n">
        <v>38</v>
      </c>
      <c r="G82" s="14">
        <f>D82*F82</f>
        <v/>
      </c>
    </row>
    <row r="83">
      <c r="A83" s="13" t="inlineStr">
        <is>
          <t>16.03</t>
        </is>
      </c>
      <c r="B83" s="13" t="inlineStr">
        <is>
          <t>Hot &amp; cold water</t>
        </is>
      </c>
      <c r="C83" s="13" t="inlineStr">
        <is>
          <t>22mm elbows</t>
        </is>
      </c>
      <c r="D83" s="13" t="n">
        <v>3</v>
      </c>
      <c r="E83" s="13" t="inlineStr">
        <is>
          <t>no</t>
        </is>
      </c>
      <c r="F83" s="4" t="n">
        <v>3</v>
      </c>
      <c r="G83" s="14">
        <f>D83*F83</f>
        <v/>
      </c>
    </row>
    <row r="84">
      <c r="A84" s="13" t="inlineStr">
        <is>
          <t>16.03</t>
        </is>
      </c>
      <c r="B84" s="13" t="inlineStr">
        <is>
          <t>Hot &amp; cold water</t>
        </is>
      </c>
      <c r="C84" s="13" t="inlineStr">
        <is>
          <t>22mm equal tees</t>
        </is>
      </c>
      <c r="D84" s="13" t="n">
        <v>1</v>
      </c>
      <c r="E84" s="13" t="inlineStr">
        <is>
          <t>no</t>
        </is>
      </c>
      <c r="F84" s="4" t="n">
        <v>5</v>
      </c>
      <c r="G84" s="14">
        <f>D84*F84</f>
        <v/>
      </c>
    </row>
    <row r="85">
      <c r="A85" s="13" t="inlineStr">
        <is>
          <t>16.03</t>
        </is>
      </c>
      <c r="B85" s="13" t="inlineStr">
        <is>
          <t>Hot &amp; cold water</t>
        </is>
      </c>
      <c r="C85" s="13" t="inlineStr">
        <is>
          <t>22mm pipe clips</t>
        </is>
      </c>
      <c r="D85" s="13" t="n">
        <v>4</v>
      </c>
      <c r="E85" s="13" t="inlineStr">
        <is>
          <t>no</t>
        </is>
      </c>
      <c r="F85" s="4" t="n">
        <v>0.5</v>
      </c>
      <c r="G85" s="14">
        <f>D85*F85</f>
        <v/>
      </c>
    </row>
    <row r="86">
      <c r="A86" s="13" t="inlineStr">
        <is>
          <t>16.03</t>
        </is>
      </c>
      <c r="B86" s="13" t="inlineStr">
        <is>
          <t>Hot &amp; cold water</t>
        </is>
      </c>
      <c r="C86" s="13" t="inlineStr">
        <is>
          <t>22mm reducing tees</t>
        </is>
      </c>
      <c r="D86" s="13" t="n">
        <v>2</v>
      </c>
      <c r="E86" s="13" t="inlineStr">
        <is>
          <t>no</t>
        </is>
      </c>
      <c r="F86" s="4" t="n">
        <v>5</v>
      </c>
      <c r="G86" s="14">
        <f>D86*F86</f>
        <v/>
      </c>
    </row>
    <row r="87">
      <c r="A87" s="13" t="inlineStr">
        <is>
          <t>16.03</t>
        </is>
      </c>
      <c r="B87" s="13" t="inlineStr">
        <is>
          <t>Hot &amp; cold water</t>
        </is>
      </c>
      <c r="C87" s="13" t="inlineStr">
        <is>
          <t>Flexible tap / cistern connectors</t>
        </is>
      </c>
      <c r="D87" s="13" t="n">
        <v>3</v>
      </c>
      <c r="E87" s="13" t="inlineStr">
        <is>
          <t>no</t>
        </is>
      </c>
      <c r="F87" s="4" t="n">
        <v>5</v>
      </c>
      <c r="G87" s="14">
        <f>D87*F87</f>
        <v/>
      </c>
    </row>
    <row r="88">
      <c r="A88" s="13" t="inlineStr">
        <is>
          <t>16.03</t>
        </is>
      </c>
      <c r="B88" s="13" t="inlineStr">
        <is>
          <t>Hot &amp; cold water</t>
        </is>
      </c>
      <c r="C88" s="13" t="inlineStr">
        <is>
          <t>Foil tape &amp; BS1710 ID banding</t>
        </is>
      </c>
      <c r="D88" s="13" t="n">
        <v>1</v>
      </c>
      <c r="E88" s="13" t="inlineStr">
        <is>
          <t>lot</t>
        </is>
      </c>
      <c r="F88" s="4" t="n">
        <v>10</v>
      </c>
      <c r="G88" s="14">
        <f>D88*F88</f>
        <v/>
      </c>
    </row>
    <row r="89">
      <c r="A89" s="13" t="inlineStr">
        <is>
          <t>16.03</t>
        </is>
      </c>
      <c r="B89" s="13" t="inlineStr">
        <is>
          <t>Hot &amp; cold water</t>
        </is>
      </c>
      <c r="C89" s="13" t="inlineStr">
        <is>
          <t>Foil-faced Class O insulation 15mm (per m)</t>
        </is>
      </c>
      <c r="D89" s="13" t="n">
        <v>9</v>
      </c>
      <c r="E89" s="13" t="inlineStr">
        <is>
          <t>m</t>
        </is>
      </c>
      <c r="F89" s="4" t="n">
        <v>6</v>
      </c>
      <c r="G89" s="14">
        <f>D89*F89</f>
        <v/>
      </c>
    </row>
    <row r="90">
      <c r="A90" s="13" t="inlineStr">
        <is>
          <t>16.03</t>
        </is>
      </c>
      <c r="B90" s="13" t="inlineStr">
        <is>
          <t>Hot &amp; cold water</t>
        </is>
      </c>
      <c r="C90" s="13" t="inlineStr">
        <is>
          <t>Foil-faced Class O insulation 22mm (per m)</t>
        </is>
      </c>
      <c r="D90" s="13" t="n">
        <v>3</v>
      </c>
      <c r="E90" s="13" t="inlineStr">
        <is>
          <t>m</t>
        </is>
      </c>
      <c r="F90" s="4" t="n">
        <v>7</v>
      </c>
      <c r="G90" s="14">
        <f>D90*F90</f>
        <v/>
      </c>
    </row>
    <row r="91">
      <c r="A91" s="13" t="inlineStr">
        <is>
          <t>16.03</t>
        </is>
      </c>
      <c r="B91" s="13" t="inlineStr">
        <is>
          <t>Hot &amp; cold water</t>
        </is>
      </c>
      <c r="C91" s="13" t="inlineStr">
        <is>
          <t>Straight couplers 15/22mm</t>
        </is>
      </c>
      <c r="D91" s="13" t="n">
        <v>4</v>
      </c>
      <c r="E91" s="13" t="inlineStr">
        <is>
          <t>no</t>
        </is>
      </c>
      <c r="F91" s="4" t="n">
        <v>1.5</v>
      </c>
      <c r="G91" s="14">
        <f>D91*F91</f>
        <v/>
      </c>
    </row>
    <row r="92">
      <c r="A92" s="13" t="inlineStr">
        <is>
          <t>16.03</t>
        </is>
      </c>
      <c r="B92" s="13" t="inlineStr">
        <is>
          <t>Hot &amp; cold water</t>
        </is>
      </c>
      <c r="C92" s="13" t="inlineStr">
        <is>
          <t>TMV3 thermostatic mixing valve 15mm</t>
        </is>
      </c>
      <c r="D92" s="13" t="n">
        <v>1</v>
      </c>
      <c r="E92" s="13" t="inlineStr">
        <is>
          <t>no</t>
        </is>
      </c>
      <c r="F92" s="4" t="n">
        <v>65</v>
      </c>
      <c r="G92" s="14">
        <f>D92*F92</f>
        <v/>
      </c>
    </row>
    <row r="93">
      <c r="A93" s="13" t="inlineStr">
        <is>
          <t>16.04</t>
        </is>
      </c>
      <c r="B93" s="13" t="inlineStr">
        <is>
          <t>Hot &amp; cold water</t>
        </is>
      </c>
      <c r="C93" s="13" t="inlineStr">
        <is>
          <t>15mm 1/4-turn isolating valve</t>
        </is>
      </c>
      <c r="D93" s="13" t="n">
        <v>3</v>
      </c>
      <c r="E93" s="13" t="inlineStr">
        <is>
          <t>no</t>
        </is>
      </c>
      <c r="F93" s="4" t="n">
        <v>5</v>
      </c>
      <c r="G93" s="14">
        <f>D93*F93</f>
        <v/>
      </c>
    </row>
    <row r="94">
      <c r="A94" s="13" t="inlineStr">
        <is>
          <t>16.04</t>
        </is>
      </c>
      <c r="B94" s="13" t="inlineStr">
        <is>
          <t>Hot &amp; cold water</t>
        </is>
      </c>
      <c r="C94" s="13" t="inlineStr">
        <is>
          <t>15mm copper tube 3m</t>
        </is>
      </c>
      <c r="D94" s="13" t="n">
        <v>3</v>
      </c>
      <c r="E94" s="13" t="inlineStr">
        <is>
          <t>len</t>
        </is>
      </c>
      <c r="F94" s="4" t="n">
        <v>22</v>
      </c>
      <c r="G94" s="14">
        <f>D94*F94</f>
        <v/>
      </c>
    </row>
    <row r="95">
      <c r="A95" s="13" t="inlineStr">
        <is>
          <t>16.04</t>
        </is>
      </c>
      <c r="B95" s="13" t="inlineStr">
        <is>
          <t>Hot &amp; cold water</t>
        </is>
      </c>
      <c r="C95" s="13" t="inlineStr">
        <is>
          <t>15mm elbows</t>
        </is>
      </c>
      <c r="D95" s="13" t="n">
        <v>10</v>
      </c>
      <c r="E95" s="13" t="inlineStr">
        <is>
          <t>no</t>
        </is>
      </c>
      <c r="F95" s="4" t="n">
        <v>1.5</v>
      </c>
      <c r="G95" s="14">
        <f>D95*F95</f>
        <v/>
      </c>
    </row>
    <row r="96">
      <c r="A96" s="13" t="inlineStr">
        <is>
          <t>16.04</t>
        </is>
      </c>
      <c r="B96" s="13" t="inlineStr">
        <is>
          <t>Hot &amp; cold water</t>
        </is>
      </c>
      <c r="C96" s="13" t="inlineStr">
        <is>
          <t>15mm equal tees</t>
        </is>
      </c>
      <c r="D96" s="13" t="n">
        <v>3</v>
      </c>
      <c r="E96" s="13" t="inlineStr">
        <is>
          <t>no</t>
        </is>
      </c>
      <c r="F96" s="4" t="n">
        <v>2</v>
      </c>
      <c r="G96" s="14">
        <f>D96*F96</f>
        <v/>
      </c>
    </row>
    <row r="97">
      <c r="A97" s="13" t="inlineStr">
        <is>
          <t>16.04</t>
        </is>
      </c>
      <c r="B97" s="13" t="inlineStr">
        <is>
          <t>Hot &amp; cold water</t>
        </is>
      </c>
      <c r="C97" s="13" t="inlineStr">
        <is>
          <t>15mm pipe clips</t>
        </is>
      </c>
      <c r="D97" s="13" t="n">
        <v>16</v>
      </c>
      <c r="E97" s="13" t="inlineStr">
        <is>
          <t>no</t>
        </is>
      </c>
      <c r="F97" s="4" t="n">
        <v>0.4</v>
      </c>
      <c r="G97" s="14">
        <f>D97*F97</f>
        <v/>
      </c>
    </row>
    <row r="98">
      <c r="A98" s="13" t="inlineStr">
        <is>
          <t>16.04</t>
        </is>
      </c>
      <c r="B98" s="13" t="inlineStr">
        <is>
          <t>Hot &amp; cold water</t>
        </is>
      </c>
      <c r="C98" s="13" t="inlineStr">
        <is>
          <t>22mm copper tube 3m</t>
        </is>
      </c>
      <c r="D98" s="13" t="n">
        <v>2</v>
      </c>
      <c r="E98" s="13" t="inlineStr">
        <is>
          <t>len</t>
        </is>
      </c>
      <c r="F98" s="4" t="n">
        <v>38</v>
      </c>
      <c r="G98" s="14">
        <f>D98*F98</f>
        <v/>
      </c>
    </row>
    <row r="99">
      <c r="A99" s="13" t="inlineStr">
        <is>
          <t>16.04</t>
        </is>
      </c>
      <c r="B99" s="13" t="inlineStr">
        <is>
          <t>Hot &amp; cold water</t>
        </is>
      </c>
      <c r="C99" s="13" t="inlineStr">
        <is>
          <t>22mm elbows</t>
        </is>
      </c>
      <c r="D99" s="13" t="n">
        <v>4</v>
      </c>
      <c r="E99" s="13" t="inlineStr">
        <is>
          <t>no</t>
        </is>
      </c>
      <c r="F99" s="4" t="n">
        <v>3</v>
      </c>
      <c r="G99" s="14">
        <f>D99*F99</f>
        <v/>
      </c>
    </row>
    <row r="100">
      <c r="A100" s="13" t="inlineStr">
        <is>
          <t>16.04</t>
        </is>
      </c>
      <c r="B100" s="13" t="inlineStr">
        <is>
          <t>Hot &amp; cold water</t>
        </is>
      </c>
      <c r="C100" s="13" t="inlineStr">
        <is>
          <t>22mm equal tees</t>
        </is>
      </c>
      <c r="D100" s="13" t="n">
        <v>1</v>
      </c>
      <c r="E100" s="13" t="inlineStr">
        <is>
          <t>no</t>
        </is>
      </c>
      <c r="F100" s="4" t="n">
        <v>5</v>
      </c>
      <c r="G100" s="14">
        <f>D100*F100</f>
        <v/>
      </c>
    </row>
    <row r="101">
      <c r="A101" s="13" t="inlineStr">
        <is>
          <t>16.04</t>
        </is>
      </c>
      <c r="B101" s="13" t="inlineStr">
        <is>
          <t>Hot &amp; cold water</t>
        </is>
      </c>
      <c r="C101" s="13" t="inlineStr">
        <is>
          <t>22mm full-bore isolating valve (incoming main)</t>
        </is>
      </c>
      <c r="D101" s="13" t="n">
        <v>1</v>
      </c>
      <c r="E101" s="13" t="inlineStr">
        <is>
          <t>no</t>
        </is>
      </c>
      <c r="F101" s="4" t="n">
        <v>12</v>
      </c>
      <c r="G101" s="14">
        <f>D101*F101</f>
        <v/>
      </c>
    </row>
    <row r="102">
      <c r="A102" s="13" t="inlineStr">
        <is>
          <t>16.04</t>
        </is>
      </c>
      <c r="B102" s="13" t="inlineStr">
        <is>
          <t>Hot &amp; cold water</t>
        </is>
      </c>
      <c r="C102" s="13" t="inlineStr">
        <is>
          <t>22mm pipe clips</t>
        </is>
      </c>
      <c r="D102" s="13" t="n">
        <v>7</v>
      </c>
      <c r="E102" s="13" t="inlineStr">
        <is>
          <t>no</t>
        </is>
      </c>
      <c r="F102" s="4" t="n">
        <v>0.5</v>
      </c>
      <c r="G102" s="14">
        <f>D102*F102</f>
        <v/>
      </c>
    </row>
    <row r="103">
      <c r="A103" s="13" t="inlineStr">
        <is>
          <t>16.04</t>
        </is>
      </c>
      <c r="B103" s="13" t="inlineStr">
        <is>
          <t>Hot &amp; cold water</t>
        </is>
      </c>
      <c r="C103" s="13" t="inlineStr">
        <is>
          <t>22mm reducing tees</t>
        </is>
      </c>
      <c r="D103" s="13" t="n">
        <v>2</v>
      </c>
      <c r="E103" s="13" t="inlineStr">
        <is>
          <t>no</t>
        </is>
      </c>
      <c r="F103" s="4" t="n">
        <v>5</v>
      </c>
      <c r="G103" s="14">
        <f>D103*F103</f>
        <v/>
      </c>
    </row>
    <row r="104">
      <c r="A104" s="13" t="inlineStr">
        <is>
          <t>16.04</t>
        </is>
      </c>
      <c r="B104" s="13" t="inlineStr">
        <is>
          <t>Hot &amp; cold water</t>
        </is>
      </c>
      <c r="C104" s="13" t="inlineStr">
        <is>
          <t>Automatic air vent</t>
        </is>
      </c>
      <c r="D104" s="13" t="n">
        <v>1</v>
      </c>
      <c r="E104" s="13" t="inlineStr">
        <is>
          <t>no</t>
        </is>
      </c>
      <c r="F104" s="4" t="n">
        <v>12</v>
      </c>
      <c r="G104" s="14">
        <f>D104*F104</f>
        <v/>
      </c>
    </row>
    <row r="105">
      <c r="A105" s="13" t="inlineStr">
        <is>
          <t>16.04</t>
        </is>
      </c>
      <c r="B105" s="13" t="inlineStr">
        <is>
          <t>Hot &amp; cold water</t>
        </is>
      </c>
      <c r="C105" s="13" t="inlineStr">
        <is>
          <t>Drain-off cock 15mm</t>
        </is>
      </c>
      <c r="D105" s="13" t="n">
        <v>1</v>
      </c>
      <c r="E105" s="13" t="inlineStr">
        <is>
          <t>no</t>
        </is>
      </c>
      <c r="F105" s="4" t="n">
        <v>5</v>
      </c>
      <c r="G105" s="14">
        <f>D105*F105</f>
        <v/>
      </c>
    </row>
    <row r="106">
      <c r="A106" s="13" t="inlineStr">
        <is>
          <t>16.04</t>
        </is>
      </c>
      <c r="B106" s="13" t="inlineStr">
        <is>
          <t>Hot &amp; cold water</t>
        </is>
      </c>
      <c r="C106" s="13" t="inlineStr">
        <is>
          <t>Flexible tap / cistern connectors</t>
        </is>
      </c>
      <c r="D106" s="13" t="n">
        <v>3</v>
      </c>
      <c r="E106" s="13" t="inlineStr">
        <is>
          <t>no</t>
        </is>
      </c>
      <c r="F106" s="4" t="n">
        <v>5</v>
      </c>
      <c r="G106" s="14">
        <f>D106*F106</f>
        <v/>
      </c>
    </row>
    <row r="107">
      <c r="A107" s="13" t="inlineStr">
        <is>
          <t>16.04</t>
        </is>
      </c>
      <c r="B107" s="13" t="inlineStr">
        <is>
          <t>Hot &amp; cold water</t>
        </is>
      </c>
      <c r="C107" s="13" t="inlineStr">
        <is>
          <t>Foil tape &amp; BS1710 ID banding</t>
        </is>
      </c>
      <c r="D107" s="13" t="n">
        <v>1</v>
      </c>
      <c r="E107" s="13" t="inlineStr">
        <is>
          <t>lot</t>
        </is>
      </c>
      <c r="F107" s="4" t="n">
        <v>10</v>
      </c>
      <c r="G107" s="14">
        <f>D107*F107</f>
        <v/>
      </c>
    </row>
    <row r="108">
      <c r="A108" s="13" t="inlineStr">
        <is>
          <t>16.04</t>
        </is>
      </c>
      <c r="B108" s="13" t="inlineStr">
        <is>
          <t>Hot &amp; cold water</t>
        </is>
      </c>
      <c r="C108" s="13" t="inlineStr">
        <is>
          <t>Foil-faced Class O insulation 15mm (per m)</t>
        </is>
      </c>
      <c r="D108" s="13" t="n">
        <v>9</v>
      </c>
      <c r="E108" s="13" t="inlineStr">
        <is>
          <t>m</t>
        </is>
      </c>
      <c r="F108" s="4" t="n">
        <v>6</v>
      </c>
      <c r="G108" s="14">
        <f>D108*F108</f>
        <v/>
      </c>
    </row>
    <row r="109">
      <c r="A109" s="13" t="inlineStr">
        <is>
          <t>16.04</t>
        </is>
      </c>
      <c r="B109" s="13" t="inlineStr">
        <is>
          <t>Hot &amp; cold water</t>
        </is>
      </c>
      <c r="C109" s="13" t="inlineStr">
        <is>
          <t>Foil-faced Class O insulation 22mm (per m)</t>
        </is>
      </c>
      <c r="D109" s="13" t="n">
        <v>5</v>
      </c>
      <c r="E109" s="13" t="inlineStr">
        <is>
          <t>m</t>
        </is>
      </c>
      <c r="F109" s="4" t="n">
        <v>7</v>
      </c>
      <c r="G109" s="14">
        <f>D109*F109</f>
        <v/>
      </c>
    </row>
    <row r="110">
      <c r="A110" s="13" t="inlineStr">
        <is>
          <t>16.04</t>
        </is>
      </c>
      <c r="B110" s="13" t="inlineStr">
        <is>
          <t>Hot &amp; cold water</t>
        </is>
      </c>
      <c r="C110" s="13" t="inlineStr">
        <is>
          <t>Straight couplers 15/22mm</t>
        </is>
      </c>
      <c r="D110" s="13" t="n">
        <v>4</v>
      </c>
      <c r="E110" s="13" t="inlineStr">
        <is>
          <t>no</t>
        </is>
      </c>
      <c r="F110" s="4" t="n">
        <v>1.5</v>
      </c>
      <c r="G110" s="14">
        <f>D110*F110</f>
        <v/>
      </c>
    </row>
    <row r="111">
      <c r="A111" s="13" t="inlineStr">
        <is>
          <t>16.04</t>
        </is>
      </c>
      <c r="B111" s="13" t="inlineStr">
        <is>
          <t>Hot &amp; cold water</t>
        </is>
      </c>
      <c r="C111" s="13" t="inlineStr">
        <is>
          <t>TMV3 thermostatic mixing valve 15mm</t>
        </is>
      </c>
      <c r="D111" s="13" t="n">
        <v>1</v>
      </c>
      <c r="E111" s="13" t="inlineStr">
        <is>
          <t>no</t>
        </is>
      </c>
      <c r="F111" s="4" t="n">
        <v>65</v>
      </c>
      <c r="G111" s="14">
        <f>D111*F111</f>
        <v/>
      </c>
    </row>
    <row r="112">
      <c r="A112" s="13" t="inlineStr">
        <is>
          <t>16.05</t>
        </is>
      </c>
      <c r="B112" s="13" t="inlineStr">
        <is>
          <t>Hot &amp; cold water</t>
        </is>
      </c>
      <c r="C112" s="13" t="inlineStr">
        <is>
          <t>15mm 1/4-turn isolating valve</t>
        </is>
      </c>
      <c r="D112" s="13" t="n">
        <v>3</v>
      </c>
      <c r="E112" s="13" t="inlineStr">
        <is>
          <t>no</t>
        </is>
      </c>
      <c r="F112" s="4" t="n">
        <v>5</v>
      </c>
      <c r="G112" s="14">
        <f>D112*F112</f>
        <v/>
      </c>
    </row>
    <row r="113">
      <c r="A113" s="13" t="inlineStr">
        <is>
          <t>16.05</t>
        </is>
      </c>
      <c r="B113" s="13" t="inlineStr">
        <is>
          <t>Hot &amp; cold water</t>
        </is>
      </c>
      <c r="C113" s="13" t="inlineStr">
        <is>
          <t>15mm copper tube 3m</t>
        </is>
      </c>
      <c r="D113" s="13" t="n">
        <v>3</v>
      </c>
      <c r="E113" s="13" t="inlineStr">
        <is>
          <t>len</t>
        </is>
      </c>
      <c r="F113" s="4" t="n">
        <v>22</v>
      </c>
      <c r="G113" s="14">
        <f>D113*F113</f>
        <v/>
      </c>
    </row>
    <row r="114">
      <c r="A114" s="13" t="inlineStr">
        <is>
          <t>16.05</t>
        </is>
      </c>
      <c r="B114" s="13" t="inlineStr">
        <is>
          <t>Hot &amp; cold water</t>
        </is>
      </c>
      <c r="C114" s="13" t="inlineStr">
        <is>
          <t>15mm elbows</t>
        </is>
      </c>
      <c r="D114" s="13" t="n">
        <v>10</v>
      </c>
      <c r="E114" s="13" t="inlineStr">
        <is>
          <t>no</t>
        </is>
      </c>
      <c r="F114" s="4" t="n">
        <v>1.5</v>
      </c>
      <c r="G114" s="14">
        <f>D114*F114</f>
        <v/>
      </c>
    </row>
    <row r="115">
      <c r="A115" s="13" t="inlineStr">
        <is>
          <t>16.05</t>
        </is>
      </c>
      <c r="B115" s="13" t="inlineStr">
        <is>
          <t>Hot &amp; cold water</t>
        </is>
      </c>
      <c r="C115" s="13" t="inlineStr">
        <is>
          <t>15mm equal tees</t>
        </is>
      </c>
      <c r="D115" s="13" t="n">
        <v>3</v>
      </c>
      <c r="E115" s="13" t="inlineStr">
        <is>
          <t>no</t>
        </is>
      </c>
      <c r="F115" s="4" t="n">
        <v>2</v>
      </c>
      <c r="G115" s="14">
        <f>D115*F115</f>
        <v/>
      </c>
    </row>
    <row r="116">
      <c r="A116" s="13" t="inlineStr">
        <is>
          <t>16.05</t>
        </is>
      </c>
      <c r="B116" s="13" t="inlineStr">
        <is>
          <t>Hot &amp; cold water</t>
        </is>
      </c>
      <c r="C116" s="13" t="inlineStr">
        <is>
          <t>15mm pipe clips</t>
        </is>
      </c>
      <c r="D116" s="13" t="n">
        <v>16</v>
      </c>
      <c r="E116" s="13" t="inlineStr">
        <is>
          <t>no</t>
        </is>
      </c>
      <c r="F116" s="4" t="n">
        <v>0.4</v>
      </c>
      <c r="G116" s="14">
        <f>D116*F116</f>
        <v/>
      </c>
    </row>
    <row r="117">
      <c r="A117" s="13" t="inlineStr">
        <is>
          <t>16.05</t>
        </is>
      </c>
      <c r="B117" s="13" t="inlineStr">
        <is>
          <t>Hot &amp; cold water</t>
        </is>
      </c>
      <c r="C117" s="13" t="inlineStr">
        <is>
          <t>22mm reducing tees</t>
        </is>
      </c>
      <c r="D117" s="13" t="n">
        <v>3</v>
      </c>
      <c r="E117" s="13" t="inlineStr">
        <is>
          <t>no</t>
        </is>
      </c>
      <c r="F117" s="4" t="n">
        <v>5</v>
      </c>
      <c r="G117" s="14">
        <f>D117*F117</f>
        <v/>
      </c>
    </row>
    <row r="118">
      <c r="A118" s="13" t="inlineStr">
        <is>
          <t>16.05</t>
        </is>
      </c>
      <c r="B118" s="13" t="inlineStr">
        <is>
          <t>Hot &amp; cold water</t>
        </is>
      </c>
      <c r="C118" s="13" t="inlineStr">
        <is>
          <t>Flexible tap / cistern connectors</t>
        </is>
      </c>
      <c r="D118" s="13" t="n">
        <v>3</v>
      </c>
      <c r="E118" s="13" t="inlineStr">
        <is>
          <t>no</t>
        </is>
      </c>
      <c r="F118" s="4" t="n">
        <v>5</v>
      </c>
      <c r="G118" s="14">
        <f>D118*F118</f>
        <v/>
      </c>
    </row>
    <row r="119">
      <c r="A119" s="13" t="inlineStr">
        <is>
          <t>16.05</t>
        </is>
      </c>
      <c r="B119" s="13" t="inlineStr">
        <is>
          <t>Hot &amp; cold water</t>
        </is>
      </c>
      <c r="C119" s="13" t="inlineStr">
        <is>
          <t>Foil tape &amp; BS1710 ID banding</t>
        </is>
      </c>
      <c r="D119" s="13" t="n">
        <v>1</v>
      </c>
      <c r="E119" s="13" t="inlineStr">
        <is>
          <t>lot</t>
        </is>
      </c>
      <c r="F119" s="4" t="n">
        <v>10</v>
      </c>
      <c r="G119" s="14">
        <f>D119*F119</f>
        <v/>
      </c>
    </row>
    <row r="120">
      <c r="A120" s="13" t="inlineStr">
        <is>
          <t>16.05</t>
        </is>
      </c>
      <c r="B120" s="13" t="inlineStr">
        <is>
          <t>Hot &amp; cold water</t>
        </is>
      </c>
      <c r="C120" s="13" t="inlineStr">
        <is>
          <t>Foil-faced Class O insulation 15mm (per m)</t>
        </is>
      </c>
      <c r="D120" s="13" t="n">
        <v>9</v>
      </c>
      <c r="E120" s="13" t="inlineStr">
        <is>
          <t>m</t>
        </is>
      </c>
      <c r="F120" s="4" t="n">
        <v>6</v>
      </c>
      <c r="G120" s="14">
        <f>D120*F120</f>
        <v/>
      </c>
    </row>
    <row r="121">
      <c r="A121" s="13" t="inlineStr">
        <is>
          <t>16.05</t>
        </is>
      </c>
      <c r="B121" s="13" t="inlineStr">
        <is>
          <t>Hot &amp; cold water</t>
        </is>
      </c>
      <c r="C121" s="13" t="inlineStr">
        <is>
          <t>Straight couplers 15/22mm</t>
        </is>
      </c>
      <c r="D121" s="13" t="n">
        <v>3</v>
      </c>
      <c r="E121" s="13" t="inlineStr">
        <is>
          <t>no</t>
        </is>
      </c>
      <c r="F121" s="4" t="n">
        <v>1.5</v>
      </c>
      <c r="G121" s="14">
        <f>D121*F121</f>
        <v/>
      </c>
    </row>
    <row r="122">
      <c r="A122" s="13" t="inlineStr">
        <is>
          <t>16.05</t>
        </is>
      </c>
      <c r="B122" s="13" t="inlineStr">
        <is>
          <t>Hot &amp; cold water</t>
        </is>
      </c>
      <c r="C122" s="13" t="inlineStr">
        <is>
          <t>TMV3 thermostatic mixing valve 15mm</t>
        </is>
      </c>
      <c r="D122" s="13" t="n">
        <v>1</v>
      </c>
      <c r="E122" s="13" t="inlineStr">
        <is>
          <t>no</t>
        </is>
      </c>
      <c r="F122" s="4" t="n">
        <v>65</v>
      </c>
      <c r="G122" s="14">
        <f>D122*F122</f>
        <v/>
      </c>
    </row>
    <row r="123">
      <c r="A123" s="13" t="inlineStr">
        <is>
          <t>16.06</t>
        </is>
      </c>
      <c r="B123" s="13" t="inlineStr">
        <is>
          <t>Hot &amp; cold water</t>
        </is>
      </c>
      <c r="C123" s="13" t="inlineStr">
        <is>
          <t>15mm 1/4-turn isolating valve</t>
        </is>
      </c>
      <c r="D123" s="13" t="n">
        <v>5</v>
      </c>
      <c r="E123" s="13" t="inlineStr">
        <is>
          <t>no</t>
        </is>
      </c>
      <c r="F123" s="4" t="n">
        <v>5</v>
      </c>
      <c r="G123" s="14">
        <f>D123*F123</f>
        <v/>
      </c>
    </row>
    <row r="124">
      <c r="A124" s="13" t="inlineStr">
        <is>
          <t>16.06</t>
        </is>
      </c>
      <c r="B124" s="13" t="inlineStr">
        <is>
          <t>Hot &amp; cold water</t>
        </is>
      </c>
      <c r="C124" s="13" t="inlineStr">
        <is>
          <t>15mm copper tube 3m</t>
        </is>
      </c>
      <c r="D124" s="13" t="n">
        <v>3</v>
      </c>
      <c r="E124" s="13" t="inlineStr">
        <is>
          <t>len</t>
        </is>
      </c>
      <c r="F124" s="4" t="n">
        <v>22</v>
      </c>
      <c r="G124" s="14">
        <f>D124*F124</f>
        <v/>
      </c>
    </row>
    <row r="125">
      <c r="A125" s="13" t="inlineStr">
        <is>
          <t>16.06</t>
        </is>
      </c>
      <c r="B125" s="13" t="inlineStr">
        <is>
          <t>Hot &amp; cold water</t>
        </is>
      </c>
      <c r="C125" s="13" t="inlineStr">
        <is>
          <t>15mm elbows</t>
        </is>
      </c>
      <c r="D125" s="13" t="n">
        <v>13</v>
      </c>
      <c r="E125" s="13" t="inlineStr">
        <is>
          <t>no</t>
        </is>
      </c>
      <c r="F125" s="4" t="n">
        <v>1.5</v>
      </c>
      <c r="G125" s="14">
        <f>D125*F125</f>
        <v/>
      </c>
    </row>
    <row r="126">
      <c r="A126" s="13" t="inlineStr">
        <is>
          <t>16.06</t>
        </is>
      </c>
      <c r="B126" s="13" t="inlineStr">
        <is>
          <t>Hot &amp; cold water</t>
        </is>
      </c>
      <c r="C126" s="13" t="inlineStr">
        <is>
          <t>15mm equal tees</t>
        </is>
      </c>
      <c r="D126" s="13" t="n">
        <v>3</v>
      </c>
      <c r="E126" s="13" t="inlineStr">
        <is>
          <t>no</t>
        </is>
      </c>
      <c r="F126" s="4" t="n">
        <v>2</v>
      </c>
      <c r="G126" s="14">
        <f>D126*F126</f>
        <v/>
      </c>
    </row>
    <row r="127">
      <c r="A127" s="13" t="inlineStr">
        <is>
          <t>16.06</t>
        </is>
      </c>
      <c r="B127" s="13" t="inlineStr">
        <is>
          <t>Hot &amp; cold water</t>
        </is>
      </c>
      <c r="C127" s="13" t="inlineStr">
        <is>
          <t>15mm pipe clips</t>
        </is>
      </c>
      <c r="D127" s="13" t="n">
        <v>20</v>
      </c>
      <c r="E127" s="13" t="inlineStr">
        <is>
          <t>no</t>
        </is>
      </c>
      <c r="F127" s="4" t="n">
        <v>0.4</v>
      </c>
      <c r="G127" s="14">
        <f>D127*F127</f>
        <v/>
      </c>
    </row>
    <row r="128">
      <c r="A128" s="13" t="inlineStr">
        <is>
          <t>16.06</t>
        </is>
      </c>
      <c r="B128" s="13" t="inlineStr">
        <is>
          <t>Hot &amp; cold water</t>
        </is>
      </c>
      <c r="C128" s="13" t="inlineStr">
        <is>
          <t>22mm copper tube 3m</t>
        </is>
      </c>
      <c r="D128" s="13" t="n">
        <v>2</v>
      </c>
      <c r="E128" s="13" t="inlineStr">
        <is>
          <t>len</t>
        </is>
      </c>
      <c r="F128" s="4" t="n">
        <v>38</v>
      </c>
      <c r="G128" s="14">
        <f>D128*F128</f>
        <v/>
      </c>
    </row>
    <row r="129">
      <c r="A129" s="13" t="inlineStr">
        <is>
          <t>16.06</t>
        </is>
      </c>
      <c r="B129" s="13" t="inlineStr">
        <is>
          <t>Hot &amp; cold water</t>
        </is>
      </c>
      <c r="C129" s="13" t="inlineStr">
        <is>
          <t>22mm elbows</t>
        </is>
      </c>
      <c r="D129" s="13" t="n">
        <v>5</v>
      </c>
      <c r="E129" s="13" t="inlineStr">
        <is>
          <t>no</t>
        </is>
      </c>
      <c r="F129" s="4" t="n">
        <v>3</v>
      </c>
      <c r="G129" s="14">
        <f>D129*F129</f>
        <v/>
      </c>
    </row>
    <row r="130">
      <c r="A130" s="13" t="inlineStr">
        <is>
          <t>16.06</t>
        </is>
      </c>
      <c r="B130" s="13" t="inlineStr">
        <is>
          <t>Hot &amp; cold water</t>
        </is>
      </c>
      <c r="C130" s="13" t="inlineStr">
        <is>
          <t>22mm equal tees</t>
        </is>
      </c>
      <c r="D130" s="13" t="n">
        <v>2</v>
      </c>
      <c r="E130" s="13" t="inlineStr">
        <is>
          <t>no</t>
        </is>
      </c>
      <c r="F130" s="4" t="n">
        <v>5</v>
      </c>
      <c r="G130" s="14">
        <f>D130*F130</f>
        <v/>
      </c>
    </row>
    <row r="131">
      <c r="A131" s="13" t="inlineStr">
        <is>
          <t>16.06</t>
        </is>
      </c>
      <c r="B131" s="13" t="inlineStr">
        <is>
          <t>Hot &amp; cold water</t>
        </is>
      </c>
      <c r="C131" s="13" t="inlineStr">
        <is>
          <t>22mm full-bore isolating valve (incoming main)</t>
        </is>
      </c>
      <c r="D131" s="13" t="n">
        <v>1</v>
      </c>
      <c r="E131" s="13" t="inlineStr">
        <is>
          <t>no</t>
        </is>
      </c>
      <c r="F131" s="4" t="n">
        <v>12</v>
      </c>
      <c r="G131" s="14">
        <f>D131*F131</f>
        <v/>
      </c>
    </row>
    <row r="132">
      <c r="A132" s="13" t="inlineStr">
        <is>
          <t>16.06</t>
        </is>
      </c>
      <c r="B132" s="13" t="inlineStr">
        <is>
          <t>Hot &amp; cold water</t>
        </is>
      </c>
      <c r="C132" s="13" t="inlineStr">
        <is>
          <t>22mm pipe clips</t>
        </is>
      </c>
      <c r="D132" s="13" t="n">
        <v>9</v>
      </c>
      <c r="E132" s="13" t="inlineStr">
        <is>
          <t>no</t>
        </is>
      </c>
      <c r="F132" s="4" t="n">
        <v>0.5</v>
      </c>
      <c r="G132" s="14">
        <f>D132*F132</f>
        <v/>
      </c>
    </row>
    <row r="133">
      <c r="A133" s="13" t="inlineStr">
        <is>
          <t>16.06</t>
        </is>
      </c>
      <c r="B133" s="13" t="inlineStr">
        <is>
          <t>Hot &amp; cold water</t>
        </is>
      </c>
      <c r="C133" s="13" t="inlineStr">
        <is>
          <t>22mm reducing tees</t>
        </is>
      </c>
      <c r="D133" s="13" t="n">
        <v>3</v>
      </c>
      <c r="E133" s="13" t="inlineStr">
        <is>
          <t>no</t>
        </is>
      </c>
      <c r="F133" s="4" t="n">
        <v>5</v>
      </c>
      <c r="G133" s="14">
        <f>D133*F133</f>
        <v/>
      </c>
    </row>
    <row r="134">
      <c r="A134" s="13" t="inlineStr">
        <is>
          <t>16.06</t>
        </is>
      </c>
      <c r="B134" s="13" t="inlineStr">
        <is>
          <t>Hot &amp; cold water</t>
        </is>
      </c>
      <c r="C134" s="13" t="inlineStr">
        <is>
          <t>Automatic air vent</t>
        </is>
      </c>
      <c r="D134" s="13" t="n">
        <v>1</v>
      </c>
      <c r="E134" s="13" t="inlineStr">
        <is>
          <t>no</t>
        </is>
      </c>
      <c r="F134" s="4" t="n">
        <v>12</v>
      </c>
      <c r="G134" s="14">
        <f>D134*F134</f>
        <v/>
      </c>
    </row>
    <row r="135">
      <c r="A135" s="13" t="inlineStr">
        <is>
          <t>16.06</t>
        </is>
      </c>
      <c r="B135" s="13" t="inlineStr">
        <is>
          <t>Hot &amp; cold water</t>
        </is>
      </c>
      <c r="C135" s="13" t="inlineStr">
        <is>
          <t>Dishwasher valve 15mm</t>
        </is>
      </c>
      <c r="D135" s="13" t="n">
        <v>1</v>
      </c>
      <c r="E135" s="13" t="inlineStr">
        <is>
          <t>no</t>
        </is>
      </c>
      <c r="F135" s="4" t="n">
        <v>6</v>
      </c>
      <c r="G135" s="14">
        <f>D135*F135</f>
        <v/>
      </c>
    </row>
    <row r="136">
      <c r="A136" s="13" t="inlineStr">
        <is>
          <t>16.06</t>
        </is>
      </c>
      <c r="B136" s="13" t="inlineStr">
        <is>
          <t>Water heaters</t>
        </is>
      </c>
      <c r="C136" s="13" t="inlineStr">
        <is>
          <t>Double check valve 15mm</t>
        </is>
      </c>
      <c r="D136" s="13" t="n">
        <v>1</v>
      </c>
      <c r="E136" s="13" t="inlineStr">
        <is>
          <t>no</t>
        </is>
      </c>
      <c r="F136" s="4" t="n">
        <v>12</v>
      </c>
      <c r="G136" s="14">
        <f>D136*F136</f>
        <v/>
      </c>
    </row>
    <row r="137">
      <c r="A137" s="13" t="inlineStr">
        <is>
          <t>16.06</t>
        </is>
      </c>
      <c r="B137" s="13" t="inlineStr">
        <is>
          <t>Hot &amp; cold water</t>
        </is>
      </c>
      <c r="C137" s="13" t="inlineStr">
        <is>
          <t>Drain-off cock 15mm</t>
        </is>
      </c>
      <c r="D137" s="13" t="n">
        <v>2</v>
      </c>
      <c r="E137" s="13" t="inlineStr">
        <is>
          <t>no</t>
        </is>
      </c>
      <c r="F137" s="4" t="n">
        <v>5</v>
      </c>
      <c r="G137" s="14">
        <f>D137*F137</f>
        <v/>
      </c>
    </row>
    <row r="138">
      <c r="A138" s="13" t="inlineStr">
        <is>
          <t>16.06</t>
        </is>
      </c>
      <c r="B138" s="13" t="inlineStr">
        <is>
          <t>Hot &amp; cold water</t>
        </is>
      </c>
      <c r="C138" s="13" t="inlineStr">
        <is>
          <t>Flexible tap / cistern connectors</t>
        </is>
      </c>
      <c r="D138" s="13" t="n">
        <v>5</v>
      </c>
      <c r="E138" s="13" t="inlineStr">
        <is>
          <t>no</t>
        </is>
      </c>
      <c r="F138" s="4" t="n">
        <v>5</v>
      </c>
      <c r="G138" s="14">
        <f>D138*F138</f>
        <v/>
      </c>
    </row>
    <row r="139">
      <c r="A139" s="13" t="inlineStr">
        <is>
          <t>16.06</t>
        </is>
      </c>
      <c r="B139" s="13" t="inlineStr">
        <is>
          <t>Hot &amp; cold water</t>
        </is>
      </c>
      <c r="C139" s="13" t="inlineStr">
        <is>
          <t>Foil tape &amp; BS1710 ID banding</t>
        </is>
      </c>
      <c r="D139" s="13" t="n">
        <v>1</v>
      </c>
      <c r="E139" s="13" t="inlineStr">
        <is>
          <t>lot</t>
        </is>
      </c>
      <c r="F139" s="4" t="n">
        <v>10</v>
      </c>
      <c r="G139" s="14">
        <f>D139*F139</f>
        <v/>
      </c>
    </row>
    <row r="140">
      <c r="A140" s="13" t="inlineStr">
        <is>
          <t>16.06</t>
        </is>
      </c>
      <c r="B140" s="13" t="inlineStr">
        <is>
          <t>Hot &amp; cold water</t>
        </is>
      </c>
      <c r="C140" s="13" t="inlineStr">
        <is>
          <t>Foil-faced Class O insulation 15mm (per m)</t>
        </is>
      </c>
      <c r="D140" s="13" t="n">
        <v>9</v>
      </c>
      <c r="E140" s="13" t="inlineStr">
        <is>
          <t>m</t>
        </is>
      </c>
      <c r="F140" s="4" t="n">
        <v>6</v>
      </c>
      <c r="G140" s="14">
        <f>D140*F140</f>
        <v/>
      </c>
    </row>
    <row r="141">
      <c r="A141" s="13" t="inlineStr">
        <is>
          <t>16.06</t>
        </is>
      </c>
      <c r="B141" s="13" t="inlineStr">
        <is>
          <t>Hot &amp; cold water</t>
        </is>
      </c>
      <c r="C141" s="13" t="inlineStr">
        <is>
          <t>Foil-faced Class O insulation 22mm (per m)</t>
        </is>
      </c>
      <c r="D141" s="13" t="n">
        <v>6</v>
      </c>
      <c r="E141" s="13" t="inlineStr">
        <is>
          <t>m</t>
        </is>
      </c>
      <c r="F141" s="4" t="n">
        <v>7</v>
      </c>
      <c r="G141" s="14">
        <f>D141*F141</f>
        <v/>
      </c>
    </row>
    <row r="142">
      <c r="A142" s="13" t="inlineStr">
        <is>
          <t>16.06</t>
        </is>
      </c>
      <c r="B142" s="13" t="inlineStr">
        <is>
          <t>Hot &amp; cold water</t>
        </is>
      </c>
      <c r="C142" s="13" t="inlineStr">
        <is>
          <t>Straight couplers 15/22mm</t>
        </is>
      </c>
      <c r="D142" s="13" t="n">
        <v>4</v>
      </c>
      <c r="E142" s="13" t="inlineStr">
        <is>
          <t>no</t>
        </is>
      </c>
      <c r="F142" s="4" t="n">
        <v>1.5</v>
      </c>
      <c r="G142" s="14">
        <f>D142*F142</f>
        <v/>
      </c>
    </row>
    <row r="143">
      <c r="A143" s="13" t="inlineStr">
        <is>
          <t>16.06</t>
        </is>
      </c>
      <c r="B143" s="13" t="inlineStr">
        <is>
          <t>Hot &amp; cold water</t>
        </is>
      </c>
      <c r="C143" s="13" t="inlineStr">
        <is>
          <t>TMV3 thermostatic mixing valve 15mm</t>
        </is>
      </c>
      <c r="D143" s="13" t="n">
        <v>1</v>
      </c>
      <c r="E143" s="13" t="inlineStr">
        <is>
          <t>no</t>
        </is>
      </c>
      <c r="F143" s="4" t="n">
        <v>65</v>
      </c>
      <c r="G143" s="14">
        <f>D143*F143</f>
        <v/>
      </c>
    </row>
    <row r="144">
      <c r="A144" s="13" t="inlineStr">
        <is>
          <t>16.14</t>
        </is>
      </c>
      <c r="B144" s="13" t="inlineStr">
        <is>
          <t>Hot &amp; cold water</t>
        </is>
      </c>
      <c r="C144" s="13" t="inlineStr">
        <is>
          <t>15mm 1/4-turn isolating valve</t>
        </is>
      </c>
      <c r="D144" s="13" t="n">
        <v>3</v>
      </c>
      <c r="E144" s="13" t="inlineStr">
        <is>
          <t>no</t>
        </is>
      </c>
      <c r="F144" s="4" t="n">
        <v>5</v>
      </c>
      <c r="G144" s="14">
        <f>D144*F144</f>
        <v/>
      </c>
    </row>
    <row r="145">
      <c r="A145" s="13" t="inlineStr">
        <is>
          <t>16.14</t>
        </is>
      </c>
      <c r="B145" s="13" t="inlineStr">
        <is>
          <t>Water heaters</t>
        </is>
      </c>
      <c r="C145" s="13" t="inlineStr">
        <is>
          <t>Check valve 15mm</t>
        </is>
      </c>
      <c r="D145" s="13" t="n">
        <v>1</v>
      </c>
      <c r="E145" s="13" t="inlineStr">
        <is>
          <t>no</t>
        </is>
      </c>
      <c r="F145" s="4" t="n">
        <v>8</v>
      </c>
      <c r="G145" s="14">
        <f>D145*F145</f>
        <v/>
      </c>
    </row>
    <row r="146">
      <c r="A146" s="13" t="inlineStr">
        <is>
          <t>16.14</t>
        </is>
      </c>
      <c r="B146" s="13" t="inlineStr">
        <is>
          <t>Water heaters</t>
        </is>
      </c>
      <c r="C146" s="13" t="inlineStr">
        <is>
          <t>Dielectric union 15mm</t>
        </is>
      </c>
      <c r="D146" s="13" t="n">
        <v>2</v>
      </c>
      <c r="E146" s="13" t="inlineStr">
        <is>
          <t>no</t>
        </is>
      </c>
      <c r="F146" s="4" t="n">
        <v>8</v>
      </c>
      <c r="G146" s="14">
        <f>D146*F146</f>
        <v/>
      </c>
    </row>
    <row r="147">
      <c r="A147" s="13" t="inlineStr">
        <is>
          <t>16.14</t>
        </is>
      </c>
      <c r="B147" s="13" t="inlineStr">
        <is>
          <t>Water heaters</t>
        </is>
      </c>
      <c r="C147" s="13" t="inlineStr">
        <is>
          <t>HYCO IN30T 3kW instantaneous water heater</t>
        </is>
      </c>
      <c r="D147" s="13" t="n">
        <v>1</v>
      </c>
      <c r="E147" s="13" t="inlineStr">
        <is>
          <t>no</t>
        </is>
      </c>
      <c r="F147" s="4" t="n">
        <v>230</v>
      </c>
      <c r="G147" s="14">
        <f>D147*F147</f>
        <v/>
      </c>
    </row>
    <row r="148">
      <c r="A148" s="13" t="inlineStr">
        <is>
          <t>16.14</t>
        </is>
      </c>
      <c r="B148" s="13" t="inlineStr">
        <is>
          <t>Water heaters</t>
        </is>
      </c>
      <c r="C148" s="13" t="inlineStr">
        <is>
          <t>Potable expansion vessel 3.5 bar</t>
        </is>
      </c>
      <c r="D148" s="13" t="n">
        <v>1</v>
      </c>
      <c r="E148" s="13" t="inlineStr">
        <is>
          <t>no</t>
        </is>
      </c>
      <c r="F148" s="4" t="n">
        <v>35</v>
      </c>
      <c r="G148" s="14">
        <f>D148*F148</f>
        <v/>
      </c>
    </row>
    <row r="149">
      <c r="A149" s="13" t="inlineStr">
        <is>
          <t>16.14</t>
        </is>
      </c>
      <c r="B149" s="13" t="inlineStr">
        <is>
          <t>Water heaters</t>
        </is>
      </c>
      <c r="C149" s="13" t="inlineStr">
        <is>
          <t>Pressure reducing valve 3.5 bar 15mm</t>
        </is>
      </c>
      <c r="D149" s="13" t="n">
        <v>1</v>
      </c>
      <c r="E149" s="13" t="inlineStr">
        <is>
          <t>no</t>
        </is>
      </c>
      <c r="F149" s="4" t="n">
        <v>35</v>
      </c>
      <c r="G149" s="14">
        <f>D149*F149</f>
        <v/>
      </c>
    </row>
    <row r="150">
      <c r="A150" s="13" t="inlineStr">
        <is>
          <t>16.14</t>
        </is>
      </c>
      <c r="B150" s="13" t="inlineStr">
        <is>
          <t>Water heaters</t>
        </is>
      </c>
      <c r="C150" s="13" t="inlineStr">
        <is>
          <t>Pressure relief valve 6 bar + tundish</t>
        </is>
      </c>
      <c r="D150" s="13" t="n">
        <v>1</v>
      </c>
      <c r="E150" s="13" t="inlineStr">
        <is>
          <t>no</t>
        </is>
      </c>
      <c r="F150" s="4" t="n">
        <v>30</v>
      </c>
      <c r="G150" s="14">
        <f>D150*F150</f>
        <v/>
      </c>
    </row>
    <row r="151">
      <c r="A151" s="13" t="inlineStr">
        <is>
          <t>18.42</t>
        </is>
      </c>
      <c r="B151" s="13" t="inlineStr">
        <is>
          <t>Hot &amp; cold water</t>
        </is>
      </c>
      <c r="C151" s="13" t="inlineStr">
        <is>
          <t>15mm 1/4-turn isolating valve</t>
        </is>
      </c>
      <c r="D151" s="13" t="n">
        <v>3</v>
      </c>
      <c r="E151" s="13" t="inlineStr">
        <is>
          <t>no</t>
        </is>
      </c>
      <c r="F151" s="4" t="n">
        <v>5</v>
      </c>
      <c r="G151" s="14">
        <f>D151*F151</f>
        <v/>
      </c>
    </row>
    <row r="152">
      <c r="A152" s="13" t="inlineStr">
        <is>
          <t>18.42</t>
        </is>
      </c>
      <c r="B152" s="13" t="inlineStr">
        <is>
          <t>Water heaters</t>
        </is>
      </c>
      <c r="C152" s="13" t="inlineStr">
        <is>
          <t>Check valve 15mm</t>
        </is>
      </c>
      <c r="D152" s="13" t="n">
        <v>1</v>
      </c>
      <c r="E152" s="13" t="inlineStr">
        <is>
          <t>no</t>
        </is>
      </c>
      <c r="F152" s="4" t="n">
        <v>8</v>
      </c>
      <c r="G152" s="14">
        <f>D152*F152</f>
        <v/>
      </c>
    </row>
    <row r="153">
      <c r="A153" s="13" t="inlineStr">
        <is>
          <t>18.42</t>
        </is>
      </c>
      <c r="B153" s="13" t="inlineStr">
        <is>
          <t>Water heaters</t>
        </is>
      </c>
      <c r="C153" s="13" t="inlineStr">
        <is>
          <t>Dielectric union 15mm</t>
        </is>
      </c>
      <c r="D153" s="13" t="n">
        <v>2</v>
      </c>
      <c r="E153" s="13" t="inlineStr">
        <is>
          <t>no</t>
        </is>
      </c>
      <c r="F153" s="4" t="n">
        <v>8</v>
      </c>
      <c r="G153" s="14">
        <f>D153*F153</f>
        <v/>
      </c>
    </row>
    <row r="154">
      <c r="A154" s="13" t="inlineStr">
        <is>
          <t>18.42</t>
        </is>
      </c>
      <c r="B154" s="13" t="inlineStr">
        <is>
          <t>Water heaters</t>
        </is>
      </c>
      <c r="C154" s="13" t="inlineStr">
        <is>
          <t>HYCO IN30T 3kW instantaneous water heater</t>
        </is>
      </c>
      <c r="D154" s="13" t="n">
        <v>1</v>
      </c>
      <c r="E154" s="13" t="inlineStr">
        <is>
          <t>no</t>
        </is>
      </c>
      <c r="F154" s="4" t="n">
        <v>230</v>
      </c>
      <c r="G154" s="14">
        <f>D154*F154</f>
        <v/>
      </c>
    </row>
    <row r="155">
      <c r="A155" s="13" t="inlineStr">
        <is>
          <t>18.42</t>
        </is>
      </c>
      <c r="B155" s="13" t="inlineStr">
        <is>
          <t>Water heaters</t>
        </is>
      </c>
      <c r="C155" s="13" t="inlineStr">
        <is>
          <t>Potable expansion vessel 3.5 bar</t>
        </is>
      </c>
      <c r="D155" s="13" t="n">
        <v>1</v>
      </c>
      <c r="E155" s="13" t="inlineStr">
        <is>
          <t>no</t>
        </is>
      </c>
      <c r="F155" s="4" t="n">
        <v>35</v>
      </c>
      <c r="G155" s="14">
        <f>D155*F155</f>
        <v/>
      </c>
    </row>
    <row r="156">
      <c r="A156" s="13" t="inlineStr">
        <is>
          <t>18.42</t>
        </is>
      </c>
      <c r="B156" s="13" t="inlineStr">
        <is>
          <t>Water heaters</t>
        </is>
      </c>
      <c r="C156" s="13" t="inlineStr">
        <is>
          <t>Pressure reducing valve 3.5 bar 15mm</t>
        </is>
      </c>
      <c r="D156" s="13" t="n">
        <v>1</v>
      </c>
      <c r="E156" s="13" t="inlineStr">
        <is>
          <t>no</t>
        </is>
      </c>
      <c r="F156" s="4" t="n">
        <v>35</v>
      </c>
      <c r="G156" s="14">
        <f>D156*F156</f>
        <v/>
      </c>
    </row>
    <row r="157">
      <c r="A157" s="13" t="inlineStr">
        <is>
          <t>18.42</t>
        </is>
      </c>
      <c r="B157" s="13" t="inlineStr">
        <is>
          <t>Water heaters</t>
        </is>
      </c>
      <c r="C157" s="13" t="inlineStr">
        <is>
          <t>Pressure relief valve 6 bar + tundish</t>
        </is>
      </c>
      <c r="D157" s="13" t="n">
        <v>1</v>
      </c>
      <c r="E157" s="13" t="inlineStr">
        <is>
          <t>no</t>
        </is>
      </c>
      <c r="F157" s="4" t="n">
        <v>30</v>
      </c>
      <c r="G157" s="14">
        <f>D157*F157</f>
        <v/>
      </c>
    </row>
    <row r="158">
      <c r="A158" s="13" t="inlineStr">
        <is>
          <t>16.15</t>
        </is>
      </c>
      <c r="B158" s="13" t="inlineStr">
        <is>
          <t>Hot &amp; cold water</t>
        </is>
      </c>
      <c r="C158" s="13" t="inlineStr">
        <is>
          <t>15mm 1/4-turn isolating valve</t>
        </is>
      </c>
      <c r="D158" s="13" t="n">
        <v>3</v>
      </c>
      <c r="E158" s="13" t="inlineStr">
        <is>
          <t>no</t>
        </is>
      </c>
      <c r="F158" s="4" t="n">
        <v>5</v>
      </c>
      <c r="G158" s="14">
        <f>D158*F158</f>
        <v/>
      </c>
    </row>
    <row r="159">
      <c r="A159" s="13" t="inlineStr">
        <is>
          <t>16.15</t>
        </is>
      </c>
      <c r="B159" s="13" t="inlineStr">
        <is>
          <t>Water heaters</t>
        </is>
      </c>
      <c r="C159" s="13" t="inlineStr">
        <is>
          <t>Check valve 15mm</t>
        </is>
      </c>
      <c r="D159" s="13" t="n">
        <v>1</v>
      </c>
      <c r="E159" s="13" t="inlineStr">
        <is>
          <t>no</t>
        </is>
      </c>
      <c r="F159" s="4" t="n">
        <v>8</v>
      </c>
      <c r="G159" s="14">
        <f>D159*F159</f>
        <v/>
      </c>
    </row>
    <row r="160">
      <c r="A160" s="13" t="inlineStr">
        <is>
          <t>16.15</t>
        </is>
      </c>
      <c r="B160" s="13" t="inlineStr">
        <is>
          <t>Water heaters</t>
        </is>
      </c>
      <c r="C160" s="13" t="inlineStr">
        <is>
          <t>Dielectric union 15mm</t>
        </is>
      </c>
      <c r="D160" s="13" t="n">
        <v>2</v>
      </c>
      <c r="E160" s="13" t="inlineStr">
        <is>
          <t>no</t>
        </is>
      </c>
      <c r="F160" s="4" t="n">
        <v>8</v>
      </c>
      <c r="G160" s="14">
        <f>D160*F160</f>
        <v/>
      </c>
    </row>
    <row r="161">
      <c r="A161" s="13" t="inlineStr">
        <is>
          <t>16.15</t>
        </is>
      </c>
      <c r="B161" s="13" t="inlineStr">
        <is>
          <t>Water heaters</t>
        </is>
      </c>
      <c r="C161" s="13" t="inlineStr">
        <is>
          <t>HYCO IN30T 3kW instantaneous water heater</t>
        </is>
      </c>
      <c r="D161" s="13" t="n">
        <v>1</v>
      </c>
      <c r="E161" s="13" t="inlineStr">
        <is>
          <t>no</t>
        </is>
      </c>
      <c r="F161" s="4" t="n">
        <v>230</v>
      </c>
      <c r="G161" s="14">
        <f>D161*F161</f>
        <v/>
      </c>
    </row>
    <row r="162">
      <c r="A162" s="13" t="inlineStr">
        <is>
          <t>16.15</t>
        </is>
      </c>
      <c r="B162" s="13" t="inlineStr">
        <is>
          <t>Water heaters</t>
        </is>
      </c>
      <c r="C162" s="13" t="inlineStr">
        <is>
          <t>Potable expansion vessel 3.5 bar</t>
        </is>
      </c>
      <c r="D162" s="13" t="n">
        <v>1</v>
      </c>
      <c r="E162" s="13" t="inlineStr">
        <is>
          <t>no</t>
        </is>
      </c>
      <c r="F162" s="4" t="n">
        <v>35</v>
      </c>
      <c r="G162" s="14">
        <f>D162*F162</f>
        <v/>
      </c>
    </row>
    <row r="163">
      <c r="A163" s="13" t="inlineStr">
        <is>
          <t>16.15</t>
        </is>
      </c>
      <c r="B163" s="13" t="inlineStr">
        <is>
          <t>Water heaters</t>
        </is>
      </c>
      <c r="C163" s="13" t="inlineStr">
        <is>
          <t>Pressure reducing valve 3.5 bar 15mm</t>
        </is>
      </c>
      <c r="D163" s="13" t="n">
        <v>1</v>
      </c>
      <c r="E163" s="13" t="inlineStr">
        <is>
          <t>no</t>
        </is>
      </c>
      <c r="F163" s="4" t="n">
        <v>35</v>
      </c>
      <c r="G163" s="14">
        <f>D163*F163</f>
        <v/>
      </c>
    </row>
    <row r="164">
      <c r="A164" s="13" t="inlineStr">
        <is>
          <t>16.15</t>
        </is>
      </c>
      <c r="B164" s="13" t="inlineStr">
        <is>
          <t>Water heaters</t>
        </is>
      </c>
      <c r="C164" s="13" t="inlineStr">
        <is>
          <t>Pressure relief valve 6 bar + tundish</t>
        </is>
      </c>
      <c r="D164" s="13" t="n">
        <v>1</v>
      </c>
      <c r="E164" s="13" t="inlineStr">
        <is>
          <t>no</t>
        </is>
      </c>
      <c r="F164" s="4" t="n">
        <v>30</v>
      </c>
      <c r="G164" s="14">
        <f>D164*F164</f>
        <v/>
      </c>
    </row>
    <row r="165">
      <c r="A165" s="13" t="inlineStr">
        <is>
          <t>16.17</t>
        </is>
      </c>
      <c r="B165" s="13" t="inlineStr">
        <is>
          <t>General</t>
        </is>
      </c>
      <c r="C165" s="13" t="inlineStr">
        <is>
          <t>Test gauge / commissioning consumables</t>
        </is>
      </c>
      <c r="D165" s="13" t="n">
        <v>1</v>
      </c>
      <c r="E165" s="13" t="inlineStr">
        <is>
          <t>lot</t>
        </is>
      </c>
      <c r="F165" s="4" t="n">
        <v>20</v>
      </c>
      <c r="G165" s="14">
        <f>D165*F165</f>
        <v/>
      </c>
    </row>
    <row r="167">
      <c r="F167" s="3" t="inlineStr">
        <is>
          <t>TOTAL</t>
        </is>
      </c>
      <c r="G167" s="12">
        <f>SUM(G4:G165)</f>
        <v/>
      </c>
    </row>
  </sheetData>
  <autoFilter ref="A3:G1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55" customWidth="1" min="3" max="3"/>
  </cols>
  <sheetData>
    <row r="1">
      <c r="A1" s="10" t="inlineStr">
        <is>
          <t>Tender qualifications, exclusions &amp; programme</t>
        </is>
      </c>
    </row>
    <row r="3">
      <c r="A3" s="15" t="inlineStr">
        <is>
          <t>Tender basis</t>
        </is>
      </c>
      <c r="B3" s="16" t="n"/>
      <c r="C3" s="16" t="n"/>
    </row>
    <row r="4" ht="30" customHeight="1">
      <c r="A4" s="17" t="inlineStr">
        <is>
          <t>BOQ - Ground Floor Fit Out - Light House rev3; Tender Clarifications No.1 &amp; No.2.</t>
        </is>
      </c>
    </row>
    <row r="5" ht="30" customHeight="1">
      <c r="A5" s="17" t="inlineStr">
        <is>
          <t>Drawings: Kilbryde E23025 (52) 001 BW3 (above ground drainage), E23025 (53) 001 BW2 (hot &amp; cold water); Framed Estates 697 AB 111C (GF plan), 697 AB 400A (accessible WC).</t>
        </is>
      </c>
    </row>
    <row r="6" ht="30" customHeight="1">
      <c r="A6" s="17" t="inlineStr">
        <is>
          <t>Prices exclude VAT - domestic reverse charge applies. Subject to CIS. Tender valid for 30 days.</t>
        </is>
      </c>
    </row>
    <row r="7" ht="30" customHeight="1">
      <c r="A7" s="17" t="inlineStr">
        <is>
          <t>Contract: Minor Works Building Contract for use in Scotland. Payment by monthly valuation.</t>
        </is>
      </c>
    </row>
    <row r="9">
      <c r="A9" s="15" t="inlineStr">
        <is>
          <t>Items excluded / by others</t>
        </is>
      </c>
      <c r="B9" s="16" t="n"/>
      <c r="C9" s="16" t="n"/>
    </row>
    <row r="10">
      <c r="A10" s="17" t="inlineStr">
        <is>
          <t>BOQ ref</t>
        </is>
      </c>
      <c r="B10" s="17" t="inlineStr">
        <is>
          <t>Item</t>
        </is>
      </c>
      <c r="C10" s="17" t="inlineStr">
        <is>
          <t>Comment</t>
        </is>
      </c>
    </row>
    <row r="11">
      <c r="A11" s="17" t="inlineStr">
        <is>
          <t>14.02 / 14.06 / 14.13</t>
        </is>
      </c>
      <c r="B11" s="17" t="inlineStr">
        <is>
          <t>Hand dryers</t>
        </is>
      </c>
      <c r="C11" s="17" t="inlineStr">
        <is>
          <t>Supply by PC sum; install &amp; wiring by electrician</t>
        </is>
      </c>
    </row>
    <row r="12">
      <c r="A12" s="17" t="inlineStr">
        <is>
          <t>14.04 / 14.08 / 14.12</t>
        </is>
      </c>
      <c r="B12" s="17" t="inlineStr">
        <is>
          <t>Mirrors &amp; colostomy shelves</t>
        </is>
      </c>
      <c r="C12" s="17" t="inlineStr">
        <is>
          <t>By joiner - can supply &amp; fix on request</t>
        </is>
      </c>
    </row>
    <row r="13">
      <c r="A13" s="17" t="inlineStr">
        <is>
          <t>16.01</t>
        </is>
      </c>
      <c r="B13" s="17" t="inlineStr">
        <is>
          <t>Door transfer grilles</t>
        </is>
      </c>
      <c r="C13" s="17" t="inlineStr">
        <is>
          <t>By joiner / ventilation - can price on request</t>
        </is>
      </c>
    </row>
    <row r="14">
      <c r="A14" s="17" t="inlineStr">
        <is>
          <t>16.08 - 16.11</t>
        </is>
      </c>
      <c r="B14" s="17" t="inlineStr">
        <is>
          <t>Extract fans DEF01/DEF02 &amp; ductwork</t>
        </is>
      </c>
      <c r="C14" s="17" t="inlineStr">
        <is>
          <t>By ventilation / electrician - can price on request</t>
        </is>
      </c>
    </row>
    <row r="15">
      <c r="A15" s="17" t="inlineStr">
        <is>
          <t>16.12 / 16.16</t>
        </is>
      </c>
      <c r="B15" s="17" t="inlineStr">
        <is>
          <t>Kitchen extract KEP01 &amp; water heater WH04</t>
        </is>
      </c>
      <c r="C15" s="17" t="inlineStr">
        <is>
          <t>Excluded in BOQ</t>
        </is>
      </c>
    </row>
    <row r="16">
      <c r="A16" s="17" t="inlineStr">
        <is>
          <t>17.x</t>
        </is>
      </c>
      <c r="B16" s="17" t="inlineStr">
        <is>
          <t>All electrical works incl. isolators &amp; spurs to water heaters</t>
        </is>
      </c>
      <c r="C16" s="17" t="inlineStr">
        <is>
          <t>By electrician</t>
        </is>
      </c>
    </row>
    <row r="17">
      <c r="A17" s="17" t="inlineStr">
        <is>
          <t>18.1</t>
        </is>
      </c>
      <c r="B17" s="17" t="inlineStr">
        <is>
          <t>Builders work in connection (holes, boxing-in, access panels, lifting/relaying floors, making good)</t>
        </is>
      </c>
      <c r="C17" s="17" t="inlineStr">
        <is>
          <t>By main contractor</t>
        </is>
      </c>
    </row>
    <row r="18">
      <c r="A18" s="17" t="inlineStr">
        <is>
          <t>GT01</t>
        </is>
      </c>
      <c r="B18" s="17" t="inlineStr">
        <is>
          <t>Grease trap supply (Big Dipper W-250-ISE) - shown on drawing, not in BOQ</t>
        </is>
      </c>
      <c r="C18" s="17" t="inlineStr">
        <is>
          <t>Connections allowed in 15.03; supply can be priced on request</t>
        </is>
      </c>
    </row>
    <row r="20">
      <c r="A20" s="15" t="inlineStr">
        <is>
          <t>Assumptions &amp; clarifications</t>
        </is>
      </c>
      <c r="B20" s="16" t="n"/>
      <c r="C20" s="16" t="n"/>
    </row>
    <row r="21" ht="30" customHeight="1">
      <c r="A21" s="17" t="inlineStr">
        <is>
          <t>1. Existing SVP is sound and suitable for new connections; transition couplings allowed for connection to cast iron. Replacement of existing stack excluded.</t>
        </is>
      </c>
    </row>
    <row r="22" ht="30" customHeight="1">
      <c r="A22" s="17" t="inlineStr">
        <is>
          <t>2. Two incoming 22mm mains are marked 'TBC' on drawing (53) 001 - allowed for connection within 3m of fitting positions. Alterations to incoming supply/meter excluded.</t>
        </is>
      </c>
    </row>
    <row r="23" ht="30" customHeight="1">
      <c r="A23" s="17" t="inlineStr">
        <is>
          <t>3. Below-floor drainage assumes access via the suspended timber floor; lifting and relaying of flooring by main contractor/joiner.</t>
        </is>
      </c>
    </row>
    <row r="24" ht="30" customHeight="1">
      <c r="A24" s="17" t="inlineStr">
        <is>
          <t>4. Sanitaryware priced as standard commercial range (Twyford / Armitage Shanks or equal). Client-selected ranges to be adjusted.</t>
        </is>
      </c>
    </row>
    <row r="25" ht="30" customHeight="1">
      <c r="A25" s="17" t="inlineStr">
        <is>
          <t>5. Item 14.11: BOQ calls for a wall-hung pan in the accessible WC. A concealed frame is priced separately so it can be omitted if a close-coupled Doc M pan is accepted.</t>
        </is>
      </c>
    </row>
    <row r="26" ht="30" customHeight="1">
      <c r="A26" s="17" t="inlineStr">
        <is>
          <t>6. Water heaters: expansion controls (PRV, check valve, expansion vessel, relief valve) priced per the typical detail on drawing (53) 001. These are not normally required on instantaneous IN30T heaters - saving available if omitted.</t>
        </is>
      </c>
    </row>
    <row r="27" ht="30" customHeight="1">
      <c r="A27" s="17" t="inlineStr">
        <is>
          <t>7. Fire collars allowed where drainage passes through fire-rated construction (drawing note 8). General fire stopping by others (BOQ 13.06).</t>
        </is>
      </c>
    </row>
    <row r="28" ht="30" customHeight="1">
      <c r="A28" s="17" t="inlineStr">
        <is>
          <t>8. Items 15.04 and 16.17 (testing &amp; commissioning) appear twice in the BOQ - priced once each without duplication: 15.04 = chlorination &amp; certificate, 16.17 = pressure testing &amp; commissioning.</t>
        </is>
      </c>
    </row>
    <row r="29" ht="30" customHeight="1">
      <c r="A29" s="17" t="inlineStr">
        <is>
          <t>9. Kitchen scope is TBC in the BOQ - 15.03 and 16.06 allow first fix &amp; connections to sink, WHB and dishwasher positions shown on the drawings. Kitchen equipment, grease trap supply and WH04 excluded.</t>
        </is>
      </c>
    </row>
    <row r="30" ht="30" customHeight="1">
      <c r="A30" s="17" t="inlineStr">
        <is>
          <t>10. Works carried out during normal working hours (Mon-Fri, 8am-5pm) with clear access.</t>
        </is>
      </c>
    </row>
    <row r="32">
      <c r="A32" s="15" t="inlineStr">
        <is>
          <t>Programme</t>
        </is>
      </c>
      <c r="B32" s="16" t="n"/>
      <c r="C32" s="16" t="n"/>
    </row>
    <row r="33" ht="30" customHeight="1">
      <c r="A33" s="17" t="inlineStr">
        <is>
          <t>Lead-in: 2 weeks from receipt of order.</t>
        </is>
      </c>
    </row>
    <row r="34" ht="30" customHeight="1">
      <c r="A34" s="17" t="inlineStr">
        <is>
          <t>Plumbing on site: approx. 5 days 1st fix (strip-out, drainage, pipework) and 3 days 2nd fix (sanitaryware, heaters, testing, commissioning) - 2 operatives.</t>
        </is>
      </c>
    </row>
    <row r="35" ht="30" customHeight="1">
      <c r="A35" s="17" t="inlineStr">
        <is>
          <t>Suggested overall contract duration for the fit-out: 8-10 weeks.</t>
        </is>
      </c>
    </row>
  </sheetData>
  <mergeCells count="17">
    <mergeCell ref="A25:C25"/>
    <mergeCell ref="A28:C28"/>
    <mergeCell ref="A33:C33"/>
    <mergeCell ref="A5:C5"/>
    <mergeCell ref="A23:C23"/>
    <mergeCell ref="A6:C6"/>
    <mergeCell ref="A22:C22"/>
    <mergeCell ref="A27:C27"/>
    <mergeCell ref="A21:C21"/>
    <mergeCell ref="A7:C7"/>
    <mergeCell ref="A30:C30"/>
    <mergeCell ref="A29:C29"/>
    <mergeCell ref="A4:C4"/>
    <mergeCell ref="A34:C34"/>
    <mergeCell ref="A26:C26"/>
    <mergeCell ref="A24:C24"/>
    <mergeCell ref="A35:C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2026-09-30T16:33:57Z</dcterms:created>
  <dcterms:modified xsi:type="dcterms:W3CDTF">2026-09-30T16:33:57Z</dcterms:modified>
</cp:coreProperties>
</file>
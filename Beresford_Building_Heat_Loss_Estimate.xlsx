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 Loss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4" fontId="0" fillId="0" borderId="0" pivotButton="0" quotePrefix="0" xfId="0"/>
    <xf numFmtId="164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2" customWidth="1" min="4" max="4"/>
    <col width="70" customWidth="1" min="5" max="5"/>
  </cols>
  <sheetData>
    <row r="1">
      <c r="A1" s="1" t="inlineStr">
        <is>
          <t>HANNAH PLUMBING &amp; HEATING LTD - WHOLE BUILDING HEAT LOSS ESTIMATE</t>
        </is>
      </c>
    </row>
    <row r="2">
      <c r="A2" s="2" t="inlineStr">
        <is>
          <t>The Beresford Building, 460 Sauchiehall Street, Glasgow G2 3JW (Cat. B listed, 1938, converted to flats c.2002-08)</t>
        </is>
      </c>
    </row>
    <row r="3" ht="55" customHeight="1">
      <c r="A3" s="3" t="inlineStr">
        <is>
          <t>BUDGET ESTIMATE ONLY - whole-building peak space-heating load by simple U x A x dT + ventilation method (BS EN 12831 style). No drawings or survey: geometry and U-values are ASSUMED. Yellow cells are editable; replace with measured figures before sizing plant. Excludes domestic hot water.</t>
        </is>
      </c>
    </row>
    <row r="5">
      <c r="A5" s="4" t="inlineStr">
        <is>
          <t>1. DESIGN CONDITIONS</t>
        </is>
      </c>
      <c r="B5" s="5" t="inlineStr">
        <is>
          <t>Value</t>
        </is>
      </c>
      <c r="C5" s="5" t="inlineStr"/>
      <c r="D5" s="5" t="inlineStr"/>
      <c r="E5" s="4" t="inlineStr">
        <is>
          <t>Source / note</t>
        </is>
      </c>
    </row>
    <row r="6">
      <c r="A6" s="6" t="inlineStr">
        <is>
          <t>External design temperature (°C)</t>
        </is>
      </c>
      <c r="B6" s="7" t="n">
        <v>-5.6</v>
      </c>
      <c r="E6" s="6" t="inlineStr">
        <is>
          <t>Glasgow (Bishopton) 99.6% - CIBSE Guide A 2015 Tbl 2.5, as used by MCS heat load calculator</t>
        </is>
      </c>
    </row>
    <row r="7">
      <c r="A7" s="6" t="inlineStr">
        <is>
          <t>Mean internal temperature, flats (°C)</t>
        </is>
      </c>
      <c r="B7" s="7" t="n">
        <v>20</v>
      </c>
      <c r="E7" s="6" t="inlineStr">
        <is>
          <t>Whole-flat average (living 21, bedrooms 18, baths 22)</t>
        </is>
      </c>
    </row>
    <row r="8">
      <c r="A8" s="6" t="inlineStr">
        <is>
          <t>Design temperature difference dT (K)</t>
        </is>
      </c>
      <c r="B8" s="8">
        <f>B7-B6</f>
        <v/>
      </c>
      <c r="E8" s="6" t="inlineStr">
        <is>
          <t>Calculated</t>
        </is>
      </c>
    </row>
    <row r="9">
      <c r="A9" s="6" t="inlineStr">
        <is>
          <t>Floor below lowest flat - temp factor (0-1)</t>
        </is>
      </c>
      <c r="B9" s="7" t="n">
        <v>0.5</v>
      </c>
      <c r="E9" s="6" t="inlineStr">
        <is>
          <t>Ground floor assumed commercial/entrance, partly heated: 0.5 x dT. Set 1.0 if open/unheated, 0 if fully heated.</t>
        </is>
      </c>
    </row>
    <row r="11">
      <c r="A11" s="4" t="inlineStr">
        <is>
          <t>2. BUILDING GEOMETRY (ASSUMED - CHECK)</t>
        </is>
      </c>
      <c r="B11" s="5" t="inlineStr">
        <is>
          <t>Value</t>
        </is>
      </c>
      <c r="C11" s="5" t="inlineStr"/>
      <c r="D11" s="5" t="inlineStr"/>
      <c r="E11" s="4" t="inlineStr">
        <is>
          <t>Basis</t>
        </is>
      </c>
    </row>
    <row r="12">
      <c r="A12" s="6" t="inlineStr">
        <is>
          <t>Number of flats</t>
        </is>
      </c>
      <c r="B12" s="7" t="n">
        <v>121</v>
      </c>
      <c r="E12" s="6" t="inlineStr">
        <is>
          <t>Published conversion figure is 112-121 flats; not used in the calc, only for the per-flat figure</t>
        </is>
      </c>
    </row>
    <row r="13">
      <c r="A13" s="6" t="inlineStr">
        <is>
          <t>Heated residential floors</t>
        </is>
      </c>
      <c r="B13" s="7" t="n">
        <v>9</v>
      </c>
      <c r="E13" s="6" t="inlineStr">
        <is>
          <t>Sources say 8-10 storeys; assumed ground = commercial/entrance + 9 floors of flats</t>
        </is>
      </c>
    </row>
    <row r="14">
      <c r="A14" s="6" t="inlineStr">
        <is>
          <t>Gross internal area per floor (m²)</t>
        </is>
      </c>
      <c r="B14" s="7" t="n">
        <v>850</v>
      </c>
      <c r="E14" s="6" t="inlineStr">
        <is>
          <t>ESTIMATE: ~13 flats/floor x ~53 m² avg (EPCs 40-63 m²) + circulation</t>
        </is>
      </c>
    </row>
    <row r="15">
      <c r="A15" s="6" t="inlineStr">
        <is>
          <t>External wall perimeter per floor (m)</t>
        </is>
      </c>
      <c r="B15" s="7" t="n">
        <v>150</v>
      </c>
      <c r="E15" s="6" t="inlineStr">
        <is>
          <t>ESTIMATE - measure from OS map / drawings</t>
        </is>
      </c>
    </row>
    <row r="16">
      <c r="A16" s="6" t="inlineStr">
        <is>
          <t>Floor-to-floor height (m)</t>
        </is>
      </c>
      <c r="B16" s="7" t="n">
        <v>3</v>
      </c>
      <c r="E16" s="6" t="inlineStr">
        <is>
          <t>Typical 1930s hotel</t>
        </is>
      </c>
    </row>
    <row r="17">
      <c r="A17" s="6" t="inlineStr">
        <is>
          <t>Internal ceiling height (m)</t>
        </is>
      </c>
      <c r="B17" s="7" t="n">
        <v>2.7</v>
      </c>
      <c r="E17" s="6" t="inlineStr">
        <is>
          <t>For ventilation volume</t>
        </is>
      </c>
    </row>
    <row r="18">
      <c r="A18" s="6" t="inlineStr">
        <is>
          <t>Glazing % of gross external wall</t>
        </is>
      </c>
      <c r="B18" s="7" t="n">
        <v>30</v>
      </c>
      <c r="E18" s="6" t="inlineStr">
        <is>
          <t>Horizontal bands of Art Deco windows - check on elevations</t>
        </is>
      </c>
    </row>
    <row r="19">
      <c r="A19" s="6" t="inlineStr">
        <is>
          <t>Roof area (m²)</t>
        </is>
      </c>
      <c r="B19" s="8">
        <f>B14</f>
        <v/>
      </c>
      <c r="E19" t="inlineStr">
        <is>
          <t>Assumed equal to the floor plate (flat roof)</t>
        </is>
      </c>
    </row>
    <row r="21">
      <c r="A21" s="9" t="inlineStr">
        <is>
          <t>Total heated floor area (m²)</t>
        </is>
      </c>
      <c r="B21" s="10">
        <f>B13*B14</f>
        <v/>
      </c>
      <c r="E21" s="9" t="inlineStr">
        <is>
          <t>Calculated</t>
        </is>
      </c>
    </row>
    <row r="22">
      <c r="A22" s="6" t="inlineStr">
        <is>
          <t>Gross external wall area (m²)</t>
        </is>
      </c>
      <c r="B22" s="11">
        <f>B15*B16*B13</f>
        <v/>
      </c>
    </row>
    <row r="23">
      <c r="A23" s="6" t="inlineStr">
        <is>
          <t>Glazing area (m²)</t>
        </is>
      </c>
      <c r="B23" s="11">
        <f>B22*B18/100</f>
        <v/>
      </c>
    </row>
    <row r="24">
      <c r="A24" s="6" t="inlineStr">
        <is>
          <t>Opaque wall area (m²)</t>
        </is>
      </c>
      <c r="B24" s="11">
        <f>B22-B23</f>
        <v/>
      </c>
    </row>
    <row r="25">
      <c r="A25" s="6" t="inlineStr">
        <is>
          <t>Heated volume (m³)</t>
        </is>
      </c>
      <c r="B25" s="11">
        <f>B21*B17</f>
        <v/>
      </c>
    </row>
    <row r="27" ht="28" customHeight="1">
      <c r="A27" s="4" t="inlineStr">
        <is>
          <t>3. FABRIC &amp; VENTILATION</t>
        </is>
      </c>
      <c r="B27" s="5" t="inlineStr">
        <is>
          <t>Scenario A
Conversion upgraded</t>
        </is>
      </c>
      <c r="C27" s="5" t="inlineStr">
        <is>
          <t>Scenario B
Little upgrade</t>
        </is>
      </c>
      <c r="D27" s="5" t="inlineStr"/>
      <c r="E27" s="4" t="inlineStr">
        <is>
          <t>Note</t>
        </is>
      </c>
    </row>
    <row r="28">
      <c r="A28" s="6" t="inlineStr">
        <is>
          <t>Wall U-value (W/m²K)</t>
        </is>
      </c>
      <c r="B28" s="7" t="n">
        <v>0.6</v>
      </c>
      <c r="C28" s="7" t="n">
        <v>1.5</v>
      </c>
      <c r="E28" s="6" t="inlineStr">
        <is>
          <t>A: solid brick with insulated dry-lining (2000s conversion). B: original solid brick/tile cladding</t>
        </is>
      </c>
    </row>
    <row r="29">
      <c r="A29" s="6" t="inlineStr">
        <is>
          <t>Window U-value (W/m²K)</t>
        </is>
      </c>
      <c r="B29" s="7" t="n">
        <v>2</v>
      </c>
      <c r="C29" s="7" t="n">
        <v>2.8</v>
      </c>
      <c r="E29" s="6" t="inlineStr">
        <is>
          <t>A: double glazed (listed-sympathetic). B: early double glazing / secondary</t>
        </is>
      </c>
    </row>
    <row r="30">
      <c r="A30" s="6" t="inlineStr">
        <is>
          <t>Roof U-value (W/m²K)</t>
        </is>
      </c>
      <c r="B30" s="7" t="n">
        <v>0.25</v>
      </c>
      <c r="C30" s="7" t="n">
        <v>0.6</v>
      </c>
      <c r="E30" s="6" t="inlineStr">
        <is>
          <t>A: insulated at conversion. B: concrete flat roof, little insulation</t>
        </is>
      </c>
    </row>
    <row r="31">
      <c r="A31" s="6" t="inlineStr">
        <is>
          <t>Floor over commercial U-value (W/m²K)</t>
        </is>
      </c>
      <c r="B31" s="7" t="n">
        <v>0.5</v>
      </c>
      <c r="C31" s="7" t="n">
        <v>1</v>
      </c>
      <c r="E31" s="6" t="inlineStr">
        <is>
          <t>Concrete slab to ground floor / entrance</t>
        </is>
      </c>
    </row>
    <row r="32">
      <c r="A32" s="6" t="inlineStr">
        <is>
          <t>Thermal bridging y-value (W/m²K)</t>
        </is>
      </c>
      <c r="B32" s="7" t="n">
        <v>0.1</v>
      </c>
      <c r="C32" s="7" t="n">
        <v>0.15</v>
      </c>
      <c r="E32" s="6" t="inlineStr">
        <is>
          <t>Concrete slab edges / lintels, applied to external area</t>
        </is>
      </c>
    </row>
    <row r="33">
      <c r="A33" s="6" t="inlineStr">
        <is>
          <t>Air change rate (ach)</t>
        </is>
      </c>
      <c r="B33" s="7" t="n">
        <v>0.5</v>
      </c>
      <c r="C33" s="7" t="n">
        <v>1</v>
      </c>
      <c r="E33" s="6" t="inlineStr">
        <is>
          <t>A: sealed windows + extract fans. B: draughty older windows</t>
        </is>
      </c>
    </row>
    <row r="35">
      <c r="A35" s="4" t="inlineStr">
        <is>
          <t>4. HEAT LOSS COEFFICIENTS (W/K)</t>
        </is>
      </c>
      <c r="B35" s="5" t="inlineStr">
        <is>
          <t>Scenario A</t>
        </is>
      </c>
      <c r="C35" s="5" t="inlineStr">
        <is>
          <t>Scenario B</t>
        </is>
      </c>
      <c r="D35" s="5" t="inlineStr"/>
      <c r="E35" s="4" t="inlineStr"/>
    </row>
    <row r="36">
      <c r="A36" s="6" t="inlineStr">
        <is>
          <t>Walls</t>
        </is>
      </c>
      <c r="B36" s="12">
        <f>$B$24*B28</f>
        <v/>
      </c>
      <c r="C36" s="12">
        <f>$B$24*C28</f>
        <v/>
      </c>
    </row>
    <row r="37">
      <c r="A37" s="6" t="inlineStr">
        <is>
          <t>Windows</t>
        </is>
      </c>
      <c r="B37" s="12">
        <f>$B$23*B29</f>
        <v/>
      </c>
      <c r="C37" s="12">
        <f>$B$23*C29</f>
        <v/>
      </c>
    </row>
    <row r="38">
      <c r="A38" s="6" t="inlineStr">
        <is>
          <t>Roof</t>
        </is>
      </c>
      <c r="B38" s="12">
        <f>$B$19*B30</f>
        <v/>
      </c>
      <c r="C38" s="12">
        <f>$B$19*C30</f>
        <v/>
      </c>
    </row>
    <row r="39">
      <c r="A39" s="6" t="inlineStr">
        <is>
          <t>Floor over ground floor (x temp factor)</t>
        </is>
      </c>
      <c r="B39" s="12">
        <f>$B$14*B31*$B$9</f>
        <v/>
      </c>
      <c r="C39" s="12">
        <f>$B$14*C31*$B$9</f>
        <v/>
      </c>
    </row>
    <row r="40">
      <c r="A40" s="6" t="inlineStr">
        <is>
          <t>Thermal bridging</t>
        </is>
      </c>
      <c r="B40" s="12">
        <f>($B$22+$B$19)*B32</f>
        <v/>
      </c>
      <c r="C40" s="12">
        <f>($B$22+$B$19)*C32</f>
        <v/>
      </c>
    </row>
    <row r="41">
      <c r="A41" s="9" t="inlineStr">
        <is>
          <t>Fabric total</t>
        </is>
      </c>
      <c r="B41" s="13">
        <f>SUM(B36:B40)</f>
        <v/>
      </c>
      <c r="C41" s="13">
        <f>SUM(C36:C40)</f>
        <v/>
      </c>
    </row>
    <row r="42">
      <c r="A42" s="6" t="inlineStr">
        <is>
          <t>Ventilation (0.33 x ach x V)</t>
        </is>
      </c>
      <c r="B42" s="12">
        <f>0.33*B33*$B$25</f>
        <v/>
      </c>
      <c r="C42" s="12">
        <f>0.33*C33*$B$25</f>
        <v/>
      </c>
    </row>
    <row r="43">
      <c r="A43" s="9" t="inlineStr">
        <is>
          <t>TOTAL HEAT LOSS COEFFICIENT</t>
        </is>
      </c>
      <c r="B43" s="13">
        <f>B41+B42</f>
        <v/>
      </c>
      <c r="C43" s="13">
        <f>C41+C42</f>
        <v/>
      </c>
    </row>
    <row r="44">
      <c r="B44" s="14" t="n"/>
      <c r="C44" s="14" t="n"/>
    </row>
    <row r="45">
      <c r="A45" s="4" t="inlineStr">
        <is>
          <t>5. PEAK DESIGN HEAT LOSS</t>
        </is>
      </c>
      <c r="B45" s="15" t="inlineStr">
        <is>
          <t>Scenario A</t>
        </is>
      </c>
      <c r="C45" s="15" t="inlineStr">
        <is>
          <t>Scenario B</t>
        </is>
      </c>
      <c r="D45" s="5" t="inlineStr"/>
      <c r="E45" s="4" t="inlineStr">
        <is>
          <t>Note</t>
        </is>
      </c>
    </row>
    <row r="46">
      <c r="A46" s="6" t="inlineStr">
        <is>
          <t>Fabric loss (kW)</t>
        </is>
      </c>
      <c r="B46" s="12">
        <f>B41*$B$8/1000</f>
        <v/>
      </c>
      <c r="C46" s="12">
        <f>C41*$B$8/1000</f>
        <v/>
      </c>
      <c r="E46" s="6" t="inlineStr"/>
    </row>
    <row r="47">
      <c r="A47" s="6" t="inlineStr">
        <is>
          <t>Ventilation loss (kW)</t>
        </is>
      </c>
      <c r="B47" s="12">
        <f>B42*$B$8/1000</f>
        <v/>
      </c>
      <c r="C47" s="12">
        <f>C42*$B$8/1000</f>
        <v/>
      </c>
      <c r="E47" s="6" t="inlineStr"/>
    </row>
    <row r="48">
      <c r="A48" s="6" t="inlineStr">
        <is>
          <t>TOTAL PEAK SPACE-HEATING LOAD (kW)</t>
        </is>
      </c>
      <c r="B48" s="12">
        <f>B43*$B$8/1000</f>
        <v/>
      </c>
      <c r="C48" s="12">
        <f>C43*$B$8/1000</f>
        <v/>
      </c>
      <c r="E48" s="6" t="inlineStr">
        <is>
          <t>Whole building at design conditions</t>
        </is>
      </c>
    </row>
    <row r="49">
      <c r="A49" s="6" t="inlineStr">
        <is>
          <t>Load per m² of heated floor (W/m²)</t>
        </is>
      </c>
      <c r="B49" s="12">
        <f>B48*1000/$B$21</f>
        <v/>
      </c>
      <c r="C49" s="12">
        <f>C48*1000/$B$21</f>
        <v/>
      </c>
      <c r="E49" s="6" t="inlineStr">
        <is>
          <t>Sanity check: refurbished flats ~25-40, older stock 50+</t>
        </is>
      </c>
    </row>
    <row r="50">
      <c r="A50" s="6" t="inlineStr">
        <is>
          <t>Average per flat (kW)</t>
        </is>
      </c>
      <c r="B50" s="12">
        <f>B48/$B$12</f>
        <v/>
      </c>
      <c r="C50" s="12">
        <f>C48/$B$12</f>
        <v/>
      </c>
      <c r="E50" s="6" t="inlineStr">
        <is>
          <t>Top-floor / corner flats will be higher, inner flats lower</t>
        </is>
      </c>
    </row>
    <row r="51">
      <c r="A51" s="6" t="inlineStr">
        <is>
          <t>Suggested plant output incl. 10% margin (kW)</t>
        </is>
      </c>
      <c r="B51" s="12">
        <f>B48*1.1</f>
        <v/>
      </c>
      <c r="C51" s="12">
        <f>C48*1.1</f>
        <v/>
      </c>
      <c r="E51" s="6" t="inlineStr">
        <is>
          <t>Space heating only - add DHW (stored or HIU instantaneous) separately</t>
        </is>
      </c>
    </row>
    <row r="53">
      <c r="A53" s="4" t="inlineStr">
        <is>
          <t>NOTES &amp; QUALIFICATIONS</t>
        </is>
      </c>
    </row>
    <row r="54" ht="30" customHeight="1">
      <c r="A54" s="6" t="inlineStr">
        <is>
          <t>1. Not a room-by-room MCS / BS EN 12831 calculation - for budget or feasibility only. Plant must be sized from a full room-by-room calc once surveyed.</t>
        </is>
      </c>
    </row>
    <row r="55" ht="30" customHeight="1">
      <c r="A55" s="6" t="inlineStr">
        <is>
          <t>2. Existing heating varies by flat: EPCs and listings show electric underfloor heating in some flats and underfloor heating off a communal (gas) system in others. Confirm what the building actually has before pricing.</t>
        </is>
      </c>
    </row>
    <row r="56" ht="30" customHeight="1">
      <c r="A56" s="6" t="inlineStr">
        <is>
          <t>3. Category B listed - external wall insulation and window replacement are restricted, so the fabric is unlikely to be much better than Scenario A.</t>
        </is>
      </c>
    </row>
    <row r="57" ht="30" customHeight="1">
      <c r="A57" s="6" t="inlineStr">
        <is>
          <t>4. No allowance for internal or solar gains, intermittent heating or pipework losses on a communal system (typically add 10-20% distribution loss for communal heat networks).</t>
        </is>
      </c>
    </row>
    <row r="58" ht="30" customHeight="1">
      <c r="A58" s="6" t="inlineStr">
        <is>
          <t>5. Geometry figures are desk estimates. Biggest swings: floor area, number of storeys, glazing % and air change rate. Update the yellow cells and everything else recalculates.</t>
        </is>
      </c>
    </row>
  </sheetData>
  <mergeCells count="6">
    <mergeCell ref="A55:E55"/>
    <mergeCell ref="A57:E57"/>
    <mergeCell ref="A54:E54"/>
    <mergeCell ref="A58:E58"/>
    <mergeCell ref="A56:E5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2026-10-09T20:29:27Z</dcterms:created>
  <dcterms:modified xmlns:dcterms="http://purl.org/dc/terms/" xmlns:xsi="http://www.w3.org/2001/XMLSchema-instance" xsi:type="dcterms:W3CDTF">2026-10-09T20:29:27Z</dcterms:modified>
</cp:coreProperties>
</file>